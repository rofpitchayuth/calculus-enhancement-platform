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indows 11\Desktop\RofProject\SeniorProject\calculus-enhancement-platform\backend\"/>
    </mc:Choice>
  </mc:AlternateContent>
  <xr:revisionPtr revIDLastSave="0" documentId="13_ncr:1_{E11A1DED-FC56-401E-9DF7-3F15E344D4D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2" sheetId="11" r:id="rId1"/>
    <sheet name="Question" sheetId="1" r:id="rId2"/>
    <sheet name="Gemini" sheetId="9" r:id="rId3"/>
    <sheet name="Claude" sheetId="8" r:id="rId4"/>
    <sheet name="Dictionary" sheetId="6" r:id="rId5"/>
    <sheet name="Result" sheetId="4" r:id="rId6"/>
    <sheet name="student" sheetId="3" r:id="rId7"/>
  </sheets>
  <definedNames>
    <definedName name="_xlnm._FilterDatabase" localSheetId="1" hidden="1">Question!$A$1:$T$81</definedName>
  </definedNames>
  <calcPr calcId="191029"/>
  <pivotCaches>
    <pivotCache cacheId="6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<sst xmlns="http://schemas.openxmlformats.org/spreadsheetml/2006/main" count="3495" uniqueCount="648">
  <si>
    <t>question_text</t>
  </si>
  <si>
    <t>correct_answer</t>
  </si>
  <si>
    <t>choice_a</t>
  </si>
  <si>
    <t>choice_b</t>
  </si>
  <si>
    <t>choice_c</t>
  </si>
  <si>
    <t>choice_d</t>
  </si>
  <si>
    <t>choice_e</t>
  </si>
  <si>
    <t>skill_tags</t>
  </si>
  <si>
    <t>sub_topic</t>
  </si>
  <si>
    <t>bloom_level</t>
  </si>
  <si>
    <t>difficulty</t>
  </si>
  <si>
    <t>discrimination</t>
  </si>
  <si>
    <t>error_code_A</t>
  </si>
  <si>
    <t>error_code_B</t>
  </si>
  <si>
    <t>error_code_C</t>
  </si>
  <si>
    <t>error_code_D</t>
  </si>
  <si>
    <t>error_code_E</t>
  </si>
  <si>
    <t>b</t>
  </si>
  <si>
    <t>3 ตารางหน่วย</t>
  </si>
  <si>
    <t>5 ตารางหน่วย</t>
  </si>
  <si>
    <t>a</t>
  </si>
  <si>
    <t>$x^{3}-x^{2}+5x+C$</t>
  </si>
  <si>
    <t>$3x^{3}-2x^{2}+5x+C$</t>
  </si>
  <si>
    <t>$x^{3}-x^{2}+5+C$</t>
  </si>
  <si>
    <t>$x^{3}-x^{2}+5x$</t>
  </si>
  <si>
    <t>$x^{3}-x^{2}+5x+1$</t>
  </si>
  <si>
    <t>student_id</t>
  </si>
  <si>
    <t>name</t>
  </si>
  <si>
    <t>question_id</t>
  </si>
  <si>
    <t>answer</t>
  </si>
  <si>
    <t>response_time</t>
  </si>
  <si>
    <t>c</t>
  </si>
  <si>
    <t>ปุณA</t>
  </si>
  <si>
    <t>ปุณB</t>
  </si>
  <si>
    <t>ปุณC</t>
  </si>
  <si>
    <t>รอฟ</t>
  </si>
  <si>
    <t>กล้วย</t>
  </si>
  <si>
    <t>เพื่อนกล้วย1</t>
  </si>
  <si>
    <t>แพรว</t>
  </si>
  <si>
    <t>เพื่อนแพรว1</t>
  </si>
  <si>
    <t>คลิ้ก</t>
  </si>
  <si>
    <t>เพื่อนคลิ้ก1</t>
  </si>
  <si>
    <t>หาค่าไม่ได้</t>
  </si>
  <si>
    <t>pun_student1</t>
  </si>
  <si>
    <t>d</t>
  </si>
  <si>
    <t>pun_student2</t>
  </si>
  <si>
    <t>pun_student3</t>
  </si>
  <si>
    <t>pun_student4</t>
  </si>
  <si>
    <t>pun_student5</t>
  </si>
  <si>
    <t>e</t>
  </si>
  <si>
    <t>pun_student6</t>
  </si>
  <si>
    <t>pun_student7</t>
  </si>
  <si>
    <t>praew</t>
  </si>
  <si>
    <t>tong</t>
  </si>
  <si>
    <t>praew_friend</t>
  </si>
  <si>
    <t>rof</t>
  </si>
  <si>
    <t>click</t>
  </si>
  <si>
    <t>$A$</t>
  </si>
  <si>
    <t>$AT$</t>
  </si>
  <si>
    <t>$AT^2$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</si>
  <si>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เท่ากับข้อใด</t>
  </si>
  <si>
    <t>$3$ ตารางหน่วย</t>
  </si>
  <si>
    <t>$5$ ตารางหน่วย</t>
  </si>
  <si>
    <t>$1/4$</t>
  </si>
  <si>
    <t>$1/3$</t>
  </si>
  <si>
    <t>$7/12$</t>
  </si>
  <si>
    <t>$2/3$</t>
  </si>
  <si>
    <t>$17/12$</t>
  </si>
  <si>
    <t>จงหาพื้นที่ของบริเวณที่ปิดล้อมด้วยเส้นโค้ง $y = x^2 - 2x$ และเส้นตรง $y = x + 4$</t>
  </si>
  <si>
    <t xml:space="preserve">$125/6$ </t>
  </si>
  <si>
    <t xml:space="preserve">$112/6$ </t>
  </si>
  <si>
    <t>$97/6$</t>
  </si>
  <si>
    <t xml:space="preserve">$125/3$ </t>
  </si>
  <si>
    <t>$13/6$</t>
  </si>
  <si>
    <t xml:space="preserve">$1$ </t>
  </si>
  <si>
    <t>$2$</t>
  </si>
  <si>
    <t>$3$</t>
  </si>
  <si>
    <t>$4$</t>
  </si>
  <si>
    <t>$5$</t>
  </si>
  <si>
    <t>$1$</t>
  </si>
  <si>
    <t>$1.5$</t>
  </si>
  <si>
    <t>$2.5$</t>
  </si>
  <si>
    <t>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</t>
  </si>
  <si>
    <t>$-1$</t>
  </si>
  <si>
    <t>$7$</t>
  </si>
  <si>
    <t>$-2$</t>
  </si>
  <si>
    <t xml:space="preserve">$-2$ </t>
  </si>
  <si>
    <t>$0$</t>
  </si>
  <si>
    <t xml:space="preserve">$3/4$ </t>
  </si>
  <si>
    <t xml:space="preserve"> $5/4$ </t>
  </si>
  <si>
    <t>จงหาพื้นที่ของบริเวณที่ปิดล้อมด้วยเส้นโค้ง $y = x^2 - 2x$ และแกน X บนช่วง $[0, 3]$</t>
  </si>
  <si>
    <t xml:space="preserve">$2/3$ </t>
  </si>
  <si>
    <t xml:space="preserve"> $2$ </t>
  </si>
  <si>
    <t xml:space="preserve">$8/3$ </t>
  </si>
  <si>
    <t xml:space="preserve">$4/3$ </t>
  </si>
  <si>
    <t>$10/3$</t>
  </si>
  <si>
    <t>$16 $</t>
  </si>
  <si>
    <t>$6$</t>
  </si>
  <si>
    <t>$-4$</t>
  </si>
  <si>
    <t>$10$</t>
  </si>
  <si>
    <t>$-8$</t>
  </si>
  <si>
    <t>$-16$</t>
  </si>
  <si>
    <t xml:space="preserve"> $y = x^2 - 9$ </t>
  </si>
  <si>
    <t>$y = 2x^2 - 9$</t>
  </si>
  <si>
    <t xml:space="preserve">$y = 4x^2 - 9$ </t>
  </si>
  <si>
    <t xml:space="preserve">$y = 8x^2 - 9$ </t>
  </si>
  <si>
    <t>$y = 16x^2 - 9$</t>
  </si>
  <si>
    <t>กำหนดให้ $f''(x) = 12x^2 + 6x - 4$ โดย $f'(1) = 5$ และ $f(0) = 1$ จงหาค่าของ $f(1)$</t>
  </si>
  <si>
    <t xml:space="preserve">$0$ </t>
  </si>
  <si>
    <t>$20/3$</t>
  </si>
  <si>
    <t>$22/3$</t>
  </si>
  <si>
    <t>$28/3$</t>
  </si>
  <si>
    <t>$32/3$</t>
  </si>
  <si>
    <t>$34/3$</t>
  </si>
  <si>
    <t>บริเวณปิดล้อมด้วย $y=ax^2+2$, แกน X, $x=0, x=5$ มีพื้นที่ 135 ตร.หน่วย หาความชันที่ $x=2$</t>
  </si>
  <si>
    <t>$12$</t>
  </si>
  <si>
    <t>$24$</t>
  </si>
  <si>
    <t>$f(x)=-x^2+k$ พื้นที่ปิดล้อมด้วยกราฟกับแกน X เท่ากับ 36 ตร.หน่วย แล้ว $f(-1)+f(1)$ คือข้อใด</t>
  </si>
  <si>
    <t xml:space="preserve">$12$ </t>
  </si>
  <si>
    <t xml:space="preserve">$14$ </t>
  </si>
  <si>
    <t xml:space="preserve"> $18$</t>
  </si>
  <si>
    <t>$36$</t>
  </si>
  <si>
    <t xml:space="preserve">$y=x^2-9$ </t>
  </si>
  <si>
    <t xml:space="preserve">$y=2x^2-9$ </t>
  </si>
  <si>
    <t>$y=4x^2-9$</t>
  </si>
  <si>
    <t>$y=8x^2-9$</t>
  </si>
  <si>
    <t>$y=16x^2-9$</t>
  </si>
  <si>
    <t>หาพื้นที่ที่ปิดล้อมด้วยเส้นโค้ง $y=x^2-1$ และเส้นตรง $y=3$</t>
  </si>
  <si>
    <t>$8$</t>
  </si>
  <si>
    <t>บริเวณที่ปิดล้อมด้วย $y=x^2$ และ $y=x$ มีพื้นที่เท่ากับกี่ตารางหน่วย</t>
  </si>
  <si>
    <t>จงหาพื้นที่ปิดล้อมด้วย $y=x^3-3x^2-10x$ และแกน X ตั้งแต่ $x=0$ ถึง $x=3$</t>
  </si>
  <si>
    <t>$60$</t>
  </si>
  <si>
    <t>$0.5$</t>
  </si>
  <si>
    <t xml:space="preserve">$4$ </t>
  </si>
  <si>
    <t xml:space="preserve">$5$ </t>
  </si>
  <si>
    <t>$9$</t>
  </si>
  <si>
    <t xml:space="preserve"> $16$</t>
  </si>
  <si>
    <t xml:space="preserve"> $20$</t>
  </si>
  <si>
    <t>sign_error</t>
  </si>
  <si>
    <t>$n$</t>
  </si>
  <si>
    <t xml:space="preserve">$n-1$ </t>
  </si>
  <si>
    <t>$x^n$</t>
  </si>
  <si>
    <t>$11$</t>
  </si>
  <si>
    <t xml:space="preserve">$-14$ </t>
  </si>
  <si>
    <t>$-10$</t>
  </si>
  <si>
    <t>$16$</t>
  </si>
  <si>
    <t>$20$</t>
  </si>
  <si>
    <t xml:space="preserve">$0.5$ </t>
  </si>
  <si>
    <t>$30$</t>
  </si>
  <si>
    <t>$7677$</t>
  </si>
  <si>
    <t>$e$</t>
  </si>
  <si>
    <t>$15$</t>
  </si>
  <si>
    <t>$18$</t>
  </si>
  <si>
    <t>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</t>
  </si>
  <si>
    <t>$x^3 - x^2 + 5x + C$</t>
  </si>
  <si>
    <t xml:space="preserve"> $3x^3 - 2x^2 + 5x + C$</t>
  </si>
  <si>
    <t>$x^3 - x^2 + 5 + C$</t>
  </si>
  <si>
    <t>$x^3 - x^2 + 5x$</t>
  </si>
  <si>
    <t>$x^3 - x^2 + 5x + 1$</t>
  </si>
  <si>
    <t>$2x^3 + x + 2$</t>
  </si>
  <si>
    <t>$2x^3 + x$</t>
  </si>
  <si>
    <t>$4x^3 + x + 2$</t>
  </si>
  <si>
    <t>$2x^2 + x + 2$</t>
  </si>
  <si>
    <t>$2x^3 + 2$</t>
  </si>
  <si>
    <t>จงหาพื้นที่ที่ปิดล้อมด้วยเส้นโค้ง $y = x^2$ และ $y = x$</t>
  </si>
  <si>
    <t xml:space="preserve"> $5$</t>
  </si>
  <si>
    <t xml:space="preserve"> $10$</t>
  </si>
  <si>
    <t xml:space="preserve"> $40$</t>
  </si>
  <si>
    <t>(ก) และ (ข) ถูก แต่ (ค) ผิด</t>
  </si>
  <si>
    <t>(ก) และ (ค) ถูก แต่ (ข) ผิด</t>
  </si>
  <si>
    <t xml:space="preserve">(ข) และ (ค) ถูก แต่ (ก) ผิด </t>
  </si>
  <si>
    <t>ถูกทั้งสามข้อ</t>
  </si>
  <si>
    <t>ผิดทั้งสามข้อ</t>
  </si>
  <si>
    <t>$2566$</t>
  </si>
  <si>
    <t>$2567$</t>
  </si>
  <si>
    <t>$k$</t>
  </si>
  <si>
    <t>$2k$</t>
  </si>
  <si>
    <t>$1/5$</t>
  </si>
  <si>
    <t>$1/8$</t>
  </si>
  <si>
    <t>$14$</t>
  </si>
  <si>
    <t>$26$</t>
  </si>
  <si>
    <t xml:space="preserve"> $-1/2$</t>
  </si>
  <si>
    <t xml:space="preserve"> $-1$</t>
  </si>
  <si>
    <t xml:space="preserve"> $-2$</t>
  </si>
  <si>
    <t xml:space="preserve"> $1$</t>
  </si>
  <si>
    <t xml:space="preserve"> $-1/4$</t>
  </si>
  <si>
    <t xml:space="preserve"> $2$</t>
  </si>
  <si>
    <t xml:space="preserve"> $4$</t>
  </si>
  <si>
    <t xml:space="preserve"> $8$</t>
  </si>
  <si>
    <t>$4x + 2$</t>
  </si>
  <si>
    <t>$2x^2 + 1$</t>
  </si>
  <si>
    <t>$4x^2 + 2x$</t>
  </si>
  <si>
    <t>$4x^3 + 2x$</t>
  </si>
  <si>
    <t>$4x^3 + 4x$</t>
  </si>
  <si>
    <t>arithmetic_error</t>
  </si>
  <si>
    <t>(ก) เท่านั้น</t>
  </si>
  <si>
    <t xml:space="preserve"> (ข) เท่านั้น </t>
  </si>
  <si>
    <t xml:space="preserve"> (ค) เท่านั้น </t>
  </si>
  <si>
    <t xml:space="preserve"> (ข) และ (ค) ถูก</t>
  </si>
  <si>
    <t>ถูกทุกข้อ</t>
  </si>
  <si>
    <t>$1/9$</t>
  </si>
  <si>
    <t>$-1/9$</t>
  </si>
  <si>
    <t xml:space="preserve"> $6$ </t>
  </si>
  <si>
    <t xml:space="preserve">$9$ </t>
  </si>
  <si>
    <t xml:space="preserve">$-8$ </t>
  </si>
  <si>
    <t xml:space="preserve">$-6$ </t>
  </si>
  <si>
    <t xml:space="preserve">$-4$ </t>
  </si>
  <si>
    <t xml:space="preserve">$2$ </t>
  </si>
  <si>
    <t xml:space="preserve">$3$ </t>
  </si>
  <si>
    <t xml:space="preserve">$6$ </t>
  </si>
  <si>
    <t xml:space="preserve">$8$ </t>
  </si>
  <si>
    <t xml:space="preserve">$19$ </t>
  </si>
  <si>
    <t xml:space="preserve">$23$ </t>
  </si>
  <si>
    <t xml:space="preserve">$28$ </t>
  </si>
  <si>
    <t xml:space="preserve">$32$ </t>
  </si>
  <si>
    <t xml:space="preserve">$36$ </t>
  </si>
  <si>
    <t xml:space="preserve">$1/2$ </t>
  </si>
  <si>
    <t xml:space="preserve"> $1/3$ </t>
  </si>
  <si>
    <t xml:space="preserve"> $1/5$ </t>
  </si>
  <si>
    <t xml:space="preserve">$1/14$ </t>
  </si>
  <si>
    <t xml:space="preserve">$8 </t>
  </si>
  <si>
    <t xml:space="preserve">$-12$ </t>
  </si>
  <si>
    <t>Main topic</t>
  </si>
  <si>
    <t>Sub topic</t>
  </si>
  <si>
    <t>Skill tag</t>
  </si>
  <si>
    <t>Error code</t>
  </si>
  <si>
    <t>limits_and_continuity</t>
  </si>
  <si>
    <t>derivatives</t>
  </si>
  <si>
    <t>integrals</t>
  </si>
  <si>
    <t>applications_of_calculus</t>
  </si>
  <si>
    <t>evaluating_limits</t>
  </si>
  <si>
    <t>limits_at_infinity</t>
  </si>
  <si>
    <t>continuity</t>
  </si>
  <si>
    <t>implicit_differentiation</t>
  </si>
  <si>
    <t>indefinite_integrals</t>
  </si>
  <si>
    <t>definite_integrals</t>
  </si>
  <si>
    <t>integration_techniques</t>
  </si>
  <si>
    <t>kinematics</t>
  </si>
  <si>
    <t>optimization</t>
  </si>
  <si>
    <t>area_and_volume</t>
  </si>
  <si>
    <t>direct_substitution</t>
  </si>
  <si>
    <t>factoring_and_canceling</t>
  </si>
  <si>
    <t>conjugate_method</t>
  </si>
  <si>
    <t>lhopitals_rule</t>
  </si>
  <si>
    <t>power_rule</t>
  </si>
  <si>
    <t>product_rule</t>
  </si>
  <si>
    <t>quotient_rule</t>
  </si>
  <si>
    <t>chain_rule</t>
  </si>
  <si>
    <t>trig_derivatives</t>
  </si>
  <si>
    <t>exponential_log_derivatives</t>
  </si>
  <si>
    <t>power_rule_integration</t>
  </si>
  <si>
    <t>u_substitution</t>
  </si>
  <si>
    <t>integration_by_parts</t>
  </si>
  <si>
    <t>partial_fractions</t>
  </si>
  <si>
    <t>ftc_evaluation</t>
  </si>
  <si>
    <t>algebra_simplification_error</t>
  </si>
  <si>
    <t>forgot_chain_rule_inner</t>
  </si>
  <si>
    <t>product_quotient_mixup</t>
  </si>
  <si>
    <t>derivative_instead_of_integral</t>
  </si>
  <si>
    <t>forgot_plus_c</t>
  </si>
  <si>
    <t>wrong_u_sub_bounds</t>
  </si>
  <si>
    <t>trig_sign_error</t>
  </si>
  <si>
    <t>algebraic_manipulation</t>
  </si>
  <si>
    <t>functions_and_graphs</t>
  </si>
  <si>
    <t>exponents_and_logarithms</t>
  </si>
  <si>
    <t>composite_functions</t>
  </si>
  <si>
    <t>inverse_functions</t>
  </si>
  <si>
    <t>factoring_polynomials</t>
  </si>
  <si>
    <t>solving_inequalities</t>
  </si>
  <si>
    <t>rationalizing_denominators</t>
  </si>
  <si>
    <t>trig_identities</t>
  </si>
  <si>
    <t>composite_evaluation_error</t>
  </si>
  <si>
    <t>trig_evaluation_error</t>
  </si>
  <si>
    <t>exponent_rule_error</t>
  </si>
  <si>
    <t>logarithm_rule_error</t>
  </si>
  <si>
    <t>other_pre_calculus_skill</t>
  </si>
  <si>
    <t>other_calculus_skill</t>
  </si>
  <si>
    <t>unclassified_error</t>
  </si>
  <si>
    <t>conceptual_misunderstanding</t>
  </si>
  <si>
    <t>trigonometry</t>
  </si>
  <si>
    <t>definition_of_derivative</t>
  </si>
  <si>
    <t>basic_derivative_rules</t>
  </si>
  <si>
    <t>advanced_derivative_rules</t>
  </si>
  <si>
    <t>curve_sketching_analysis</t>
  </si>
  <si>
    <t>related_rates</t>
  </si>
  <si>
    <t>evaluating_functions</t>
  </si>
  <si>
    <t>logarithm_properties</t>
  </si>
  <si>
    <t>special_trig_limits</t>
  </si>
  <si>
    <t>second_derivative</t>
  </si>
  <si>
    <t>first_derivative_test</t>
  </si>
  <si>
    <t>second_derivative_test</t>
  </si>
  <si>
    <t>setting_up_optimization</t>
  </si>
  <si>
    <t>setting_up_area_integral</t>
  </si>
  <si>
    <t>fraction_operation_error</t>
  </si>
  <si>
    <t>indeterminate_form_misconception</t>
  </si>
  <si>
    <t>lhopital_applied_incorrectly</t>
  </si>
  <si>
    <t>wrong_trig_derivative_sign</t>
  </si>
  <si>
    <t>constant_derivative_error</t>
  </si>
  <si>
    <t>u_sub_forgot_du</t>
  </si>
  <si>
    <t>wrong_integration_formula</t>
  </si>
  <si>
    <t>wrong_curve_order_area</t>
  </si>
  <si>
    <t>radius_squared_error</t>
  </si>
  <si>
    <t>endpoint_extrema_forgotten</t>
  </si>
  <si>
    <t>Analyzing</t>
  </si>
  <si>
    <t>Applying</t>
  </si>
  <si>
    <t>factoring_and_canceling, lhopitals_rule</t>
  </si>
  <si>
    <t>Creating</t>
  </si>
  <si>
    <t>setting_up_area_integral, ftc_evaluation</t>
  </si>
  <si>
    <t>Understanding</t>
  </si>
  <si>
    <t>ให้ $f,g$ เป็นฟังก์ชันต่อเนื่อง โดย $g(1)=2$ และ $g(x)=\\dfrac{xf(x)+2x-f(x)-2}{x^2+3x-4}$ เมื่อ $x\\ne-4,1$ แล้ว $f(-4)+f(1)$ มีค่าเท่ากับข้อใด</t>
  </si>
  <si>
    <t>$\\frac{5}{2}$ ตารางหน่วย</t>
  </si>
  <si>
    <t>$\\frac{5}{2}$</t>
  </si>
  <si>
    <t>$\\frac{1}{3}$</t>
  </si>
  <si>
    <t xml:space="preserve"> $-\\frac{1}{10}$ </t>
  </si>
  <si>
    <t xml:space="preserve"> $\\frac{54}{5}$</t>
  </si>
  <si>
    <t>$\\frac{1}{12}$</t>
  </si>
  <si>
    <t>$\\frac{8}{3}$ ตารางหน่วย</t>
  </si>
  <si>
    <t>$\\frac{8}{3}$</t>
  </si>
  <si>
    <t xml:space="preserve"> $\\frac{16}{3}$</t>
  </si>
  <si>
    <t xml:space="preserve">$\\frac{1}{6}$ </t>
  </si>
  <si>
    <t>$\\frac{1}{2}$</t>
  </si>
  <si>
    <t xml:space="preserve"> $\\frac{1}{8}$</t>
  </si>
  <si>
    <t xml:space="preserve"> $\\frac{4}{3}$</t>
  </si>
  <si>
    <t>$\\frac{58}{5}$</t>
  </si>
  <si>
    <t>$\\frac{1}{6}$</t>
  </si>
  <si>
    <t>$\\frac{AT}{2}$</t>
  </si>
  <si>
    <t>$\\frac{32}{3}$</t>
  </si>
  <si>
    <t>$\\frac{1}{10}$</t>
  </si>
  <si>
    <t xml:space="preserve"> $\\frac{1}{4}$</t>
  </si>
  <si>
    <t xml:space="preserve"> $\\frac{8}{3}$</t>
  </si>
  <si>
    <t>$\\frac{62}{5}$</t>
  </si>
  <si>
    <t xml:space="preserve"> $\\frac{1}{3}$</t>
  </si>
  <si>
    <t>$\\frac{7}{2}$ ตารางหน่วย</t>
  </si>
  <si>
    <t xml:space="preserve">$\\sqrt{2}$ </t>
  </si>
  <si>
    <t>$\\frac{7}{2}$</t>
  </si>
  <si>
    <t xml:space="preserve"> $\\frac{2}{3}$</t>
  </si>
  <si>
    <t xml:space="preserve"> $\\frac{1}{5}$</t>
  </si>
  <si>
    <t>$\\infty$</t>
  </si>
  <si>
    <t xml:space="preserve"> $\\frac{1}{2}$</t>
  </si>
  <si>
    <t xml:space="preserve"> $\\frac{64}{5}$</t>
  </si>
  <si>
    <t>$\\frac{AT^2}{2}$</t>
  </si>
  <si>
    <t>$\\pi$</t>
  </si>
  <si>
    <t>$\\frac{20}{3}$</t>
  </si>
  <si>
    <t>$\\frac{1}{4}$</t>
  </si>
  <si>
    <t>$\\frac{70}{5}$</t>
  </si>
  <si>
    <t>main_topic</t>
  </si>
  <si>
    <t>step_by_step_analysis</t>
  </si>
  <si>
    <t>กำหนดให้ $f$ เป็นฟังก์ชันที่หาอนุพันธ์ได้ และ $g(x)=(f(x))^{2}$ ถ้า $f(7)=3$ และ $g^{\prime}(7)=1$ แล้วอนุพันธ์ของ $f(2x^{2} + 4x -9)$ ที่ $x=2$ มีค่าเท่าใด</t>
  </si>
  <si>
    <t>B</t>
  </si>
  <si>
    <t>chain_rule, composite_functions</t>
  </si>
  <si>
    <t>Medium</t>
  </si>
  <si>
    <t>ขั้นที่ 1: หา $f'(7)$ จาก $g'(x)=2f(x)\cdot f'(x)$ → $g'(7)=2(3)\cdot f'(7)=1$ ดังนั้น $f'(7)=\frac{1}{6}$
ขั้นที่ 2: หาค่า argument ที่ $x=2$: $2(4)+4(2)-9=7$
ขั้นที่ 3: Chain Rule → $h'(x)=f'(2x^2+4x-9)\cdot(4x+4)$ → $h'(2)=f'(7)\cdot12=\frac{1}{6}\cdot12=2$
ช้อยส์หลอก: A(1)=ลืมคูณ inner derivative $(4x+4)$ | C(3)=นำ $f(7)=3$ มาตอบโดยตรง | D(4)=คำนวณ inner derivative ผิด | E(6)=นำ $2f(7)=6$ มาตอบ</t>
  </si>
  <si>
    <t>จงหาค่าของ $\int(3x^{2}-2x+5)dx$</t>
  </si>
  <si>
    <t>A</t>
  </si>
  <si>
    <t>Remembering</t>
  </si>
  <si>
    <t>Easy</t>
  </si>
  <si>
    <t>ใช้ Power Rule: $\int x^n dx = \frac{x^{n+1}}{n+1}+C$
$\int 3x^2 dx=x^3,\quad \int -2x\, dx=-x^2,\quad \int 5\,dx=5x$ → รวมได้ $x^3-x^2+5x+C$
ช้อยส์หลอก: B=ลืมหารด้วยเลขชี้กำลังใหม่ (คูณแทนหาร) ได้ $3x^3,-2x^2$ | C=อินทิเกรต $5$ ผิด ได้ $5$ แทน $5x$ | D=ถูกต้องแต่ลืม $+C$ | E=ใส่ค่าคงที่เป็น $1$ แทน $C$</t>
  </si>
  <si>
    <t>จงหาค่าของ $\lim_{x\rightarrow\infty}\frac{5x^3 - 2x + 1}{2x^3 + 7}$</t>
  </si>
  <si>
    <t>$\frac{5}{2}$</t>
  </si>
  <si>
    <t>หารทุกพจน์ด้วย $x^3$ (degree สูงสุด): $\frac{5-2/x^2+1/x^3}{2+7/x^3}$ → เมื่อ $x\to\infty$ พจน์ที่มี $x$ หายไป → $\frac{5}{2}$
ช้อยส์หลอก: A(0)=เข้าใจผิดว่าทุก limit ที่ $x\to\infty$ เป็น 0 | C(1)=คำนวณผิด | D=คิดว่า $\frac{\infty}{\infty}$ หาค่าไม่ได้ ไม่รู้จัก technique | E(5)=นำสัมประสิทธิ์ leading ของเศษมาตอบโดยไม่หารด้วยตัวส่วน</t>
  </si>
  <si>
    <t>กำหนดให้ $f(x)$ เป็นพหุนาม ถ้า $f(\sqrt{x} - 1) = x$ เมื่อ $x &gt; 0$ แล้ว $f^{\prime}(1)$ เท่ากับเท่าใด</t>
  </si>
  <si>
    <t>C</t>
  </si>
  <si>
    <t>chain_rule, inverse_functions, composite_functions</t>
  </si>
  <si>
    <t>Hard</t>
  </si>
  <si>
    <t>วิธีที่ 1: ให้ $t=\sqrt{x}-1$ → $x=(t+1)^2$ → $f(t)=(t+1)^2$ → $f'(x)=2(x+1)$ → $f'(1)=4$
วิธีที่ 2 (Implicit diff): $f'(\sqrt{x}-1)\cdot\frac{1}{2\sqrt{x}}=1$ ต้องการ $\sqrt{x}-1=1$ → $x=4$ → $f'(1)\cdot\frac{1}{4}=1$ → $f'(1)=4$
ช้อยส์หลอก: A(1)=แทน $x=1$ ได้ $f(0)=1$ แล้วตอบ 1 | B(2)=แทน $x=1$ ใน implicit diff แทนที่จะแทน $x=4$ | D(5)/E(8)=คำนวณผิดเชิงเลขคณิต</t>
  </si>
  <si>
    <t>กำหนด $f$ เป็นพหุนามกำลังสองมีค่าต่ำสุดเป็น $-18$ และเส้นตรง $4x+y+12=0$ สัมผัส $y=f(x)$ ที่ $x=1$ หาพื้นที่ใต้โค้งกับแกน $X$ เมื่อ $0 \le x \le 3$</t>
  </si>
  <si>
    <t>D</t>
  </si>
  <si>
    <t>applications</t>
  </si>
  <si>
    <t>setting_up_area_integral, ftc_evaluation, second_derivative_test</t>
  </si>
  <si>
    <t>ขั้นที่ 1: เส้นสัมผัส $y=-4x-12$ → $f(1)=-16,\; f'(1)=-4$
ขั้นที่ 2: ให้ $f(x)=a(x-h)^2-18$ แก้ระบบ: $a(1-h)^2=2$ และ $2a(1-h)=-4$ → $h=2,\; a=2$
ขั้นที่ 3: $f(x)=2x^2-8x-10$ ตัดแกน $X$ ที่ $x=-1$ และ $x=5$ → บน $[0,3]$ กราฟอยู่ใต้แกน $X$ ทั้งหมด
ขั้นที่ 4: พื้นที่ $=-\int_0^3(2x^2-8x-10)dx=-\left[\frac{2x^3}{3}-4x^2-10x\right]_0^3=-(18-36-30)=48$
ช้อยส์หลอก: A(24)=ลืมใส่ค่าสัมบูรณ์หรือคิดช่วงผิด | B(32)=หา $a$ ผิดได้ $a=1$ | C(36)=คำนวณอินทิกรัลผิดพลาด | E(54)=คำนวณเลขผิด</t>
  </si>
  <si>
    <t>ให้ $a, b, c$ เป็นจำนวนจริง ถ้ากราฟ $f(x)=ax^{2}+bx+c$ ผ่านจุด $(0, 1), (1, 3), (2, 2)$ แล้วพื้นที่... (โจทย์ตัดทอน — ดูรายละเอียดจากข้อ 10)</t>
  </si>
  <si>
    <t>$\frac{5}{2}$ ตารางหน่วย</t>
  </si>
  <si>
    <t>$\frac{8}{3}$ ตารางหน่วย</t>
  </si>
  <si>
    <t>$\frac{7}{2}$ ตารางหน่วย</t>
  </si>
  <si>
    <t>setting_up_area_integral, ftc_evaluation, algebraic_manipulation</t>
  </si>
  <si>
    <t>โจทย์ตัดทอน — วิธีทำอ้างอิงจากข้อ 10: หาสัมประสิทธิ์ $c=1,\; a=-\frac{3}{2},\; b=\frac{7}{2}$
$f(x)=-\frac{3}{2}x^2+\frac{7}{2}x+1$ คำนวณพื้นที่ตามเงื่อนไขที่กำหนด (ปิดล้อมกับ $y=x$ เหมือนข้อ 10) ได้ $3$ ตารางหน่วย
ช้อยส์หลอก: A=หาสัมประสิทธิ์ผิด | B=คำนวณอินทิกรัลผิด | D=แก้ระบบสมการผิด | E=ลืมลบ $y=x$ ออก หาพื้นที่ใต้ $f(x)$ เพียงอย่างเดียว</t>
  </si>
  <si>
    <t>$\lim_{x\rightarrow1^{-}}\frac{1}{\sqrt{1-x}}\left(1-\frac{2x^{3}}{x^{2}+1}\right)$</t>
  </si>
  <si>
    <t>ขั้นที่ 1: จัดรูปวงเล็บ: $1-\frac{2x^3}{x^2+1}=\frac{x^2+1-2x^3}{x^2+1}$
ขั้นที่ 2: แยกตัวประกอบ: $-2x^3+x^2+1=(1-x)(2x^2+x+1)$
ขั้นที่ 3: แทนกลับ: $\frac{1}{\sqrt{1-x}}\cdot\frac{(1-x)(2x^2+x+1)}{x^2+1}=\sqrt{1-x}\cdot\frac{2x^2+x+1}{x^2+1}$
ขั้นที่ 4: เมื่อ $x\to1^-$: $\sqrt{1-x}\to0$ และ $\frac{2+1+1}{2}=2$ → limit $=0\times2=0$
ช้อยส์หลอก: B(0.5)=คิดว่า $\frac{1}{\sqrt{0}}$ จัดการได้ | C(1)=ลืมว่า $\sqrt{1-x}\to0$ | D(2)=หยุดที่ค่า 2 ลืม limit ของ $\sqrt{1-x}$ | E(4)=นำ $2x^2+x+1$ ที่ $x=1$ ได้ 4 ลืม $\sqrt{1-x}\to0$</t>
  </si>
  <si>
    <t>กำหนดให้ $f$ เป็นฟังก์ชันพหุนามโดยที่ $f^{\prime}(x)=ax^{2}+bx+c$ เมื่อ $f(0)=1$, $f(1)=2$, $f^{\prime}(1)=3$ (โจทย์ตัดทอน)</t>
  </si>
  <si>
    <t>power_rule_integration, algebraic_manipulation</t>
  </si>
  <si>
    <t>จาก $f'(x)=ax^2+bx+c$ → $f(x)=\frac{a}{3}x^3+\frac{b}{2}x^2+cx+d$
$f(0)=1$ → $d=1$; $f(1)=2$ → $\frac{a}{3}+\frac{b}{2}+c=1$; $f'(1)=3$ → $a+b+c=3$
สมมติ $c=0$: แก้ระบบได้ $a=3,\; b=0,\; c=0$ ดังนั้น $f'(0)=c=0$
ช้อยส์หลอก: A(-1)=คำนวณระบบสมการผิด | C(1)/D(2)/E(3)=แก้ระบบผิดหรือตอบค่าที่ไม่ใช่ $f'(0)$</t>
  </si>
  <si>
    <t>รถไฟเริ่มจากหยุดนิ่ง มีความเร่งสูงสุด $A$ แบ่งการเคลื่อนที่เป็น 3 ช่วง ช่วงแรกและช่วงท้ายใช้เวลา $T$ วินาที โดยความเร่งเพิ่ม/ลดสม่ำเสมอระหว่าง $0$ ถึง $A$ ถามความเร็วในช่วงคงตัว</t>
  </si>
  <si>
    <t>$\frac{AT}{2}$</t>
  </si>
  <si>
    <t>$\frac{AT^2}{2}$</t>
  </si>
  <si>
    <t>ช่วงที่ 1: ความเร่งเพิ่มสม่ำเสมอจาก $0$ ถึง $A$ ใน $T$ วินาที → $a(t)=\frac{A}{T}t$
ความเร็วสูงสุด $=\int_0^T \frac{A}{T}t\,dt=\frac{A}{T}\cdot\frac{T^2}{2}=\frac{AT}{2}$ ซึ่งเป็นความเร็วคงตัวในช่วงกลาง
ช้อยส์หลอก: A=สับสน acceleration กับ velocity นำ $A$ มาตอบโดยตรง | B($AT$)=คิดว่าความเร่งคงที่ $A$ ตลอด $T$ วินาที ใช้ $v=At$ | D($AT^2$)=คำนวณ displacement แทน velocity | E($\frac{AT^2}{2}$)=ใช้สูตร $s=\frac{1}{2}At^2$ แทน $v$</t>
  </si>
  <si>
    <t>ขั้นที่ 1: หาสัมประสิทธิ์: $c=1$, $4a+2b+1=2\Rightarrow 2a+b=\frac{1}{2}$, $a+b+1=3\Rightarrow a+b=2$ → $a=-\frac{3}{2},\; b=\frac{7}{2}$
ขั้นที่ 2: $f(x)-x=-\frac{3}{2}x^2+\frac{5}{2}x+1$ (ที่ $x=1$ ได้ $2&gt;0$ แสดง $f(x)&gt;x$ บน $[0,2]$)
ขั้นที่ 3: $\int_0^2\left(-\frac{3}{2}x^2+\frac{5}{2}x+1\right)dx=\left[-\frac{x^3}{2}+\frac{5x^2}{4}+x\right]_0^2=-4+5+2=3$ ตารางหน่วย
ช้อยส์หลอก: A($\frac{5}{2}$)=หา $c$ ผิดหรือลืมพจน์คงที่ | B($\frac{8}{3}$)=คำนวณอินทิกรัลผิด | D($\frac{7}{2}$)=แก้ระบบสมการผิด | E(5)=ไม่ได้ลบ $y=x$ ออก</t>
  </si>
  <si>
    <t>กำหนดให้ $f(x)$ เป็นพหุนามดีกรีสาม ซึ่ง $f(0) = 1,\; f(1) = 2$ และ $f'(0) = 1,\; f'(1) = 0$ จงหาพื้นที่ที่ปิดล้อมด้วยเส้นโค้ง $y = f(x)$ และเส้นตรง $y = 1$ บนช่วง $[0, 1]$</t>
  </si>
  <si>
    <t>$\frac{1}{4}$</t>
  </si>
  <si>
    <t>$\frac{1}{3}$</t>
  </si>
  <si>
    <t>$\frac{7}{12}$</t>
  </si>
  <si>
    <t>$\frac{2}{3}$</t>
  </si>
  <si>
    <t>$\frac{17}{12}$</t>
  </si>
  <si>
    <t>ขั้นที่ 1: ให้ $f(x)=ax^3+bx^2+cx+d$ จาก $f(0)=1$ → $d=1$; $f'(0)=1$ → $c=1$
$f(1)=2$: $a+b+1+1=2$ → $a+b=0$; $f'(1)=0$: $3a+2b+1=0$ → $3a+2b=-1$
แก้ระบบ: $b=-a$ → $3a-2a=-1$ → $a=-1,\; b=1$
ดังนั้น $f(x)=-x^3+x^2+x+1$
ขั้นที่ 2: $f(x)-1=-x^3+x^2+x \geq 0$ บน $[0,1]$ (ตรวจที่ $x=0.5$ ได้ $0.625&gt;0$)
ขั้นที่ 3: พื้นที่ $=\int_0^1(-x^3+x^2+x)dx=\left[-\frac{x^4}{4}+\frac{x^3}{3}+\frac{x^2}{2}\right]_0^1=-\frac{1}{4}+\frac{1}{3}+\frac{1}{2}=\frac{-3+4+6}{12}=\frac{7}{12}$
ช้อยส์หลอก: A($\frac{1}{4}$)=ลืมบวกพจน์ $\frac{x^2}{2}$ | B($\frac{1}{3}$)=อินทิเกรตเฉพาะพจน์ $x^2$ | D($\frac{2}{3}$)=คำนวณเศษส่วนผิด | E($\frac{17}{12}$)=ไม่ได้ลบ $y=1$ ออก อินทิเกรต $f(x)$ เพียงอย่างเดียว</t>
  </si>
  <si>
    <t>$\frac{125}{6}$</t>
  </si>
  <si>
    <t>$\frac{112}{6}$</t>
  </si>
  <si>
    <t>$\frac{97}{6}$</t>
  </si>
  <si>
    <t>$\frac{125}{3}$</t>
  </si>
  <si>
    <t>$\frac{13}{6}$</t>
  </si>
  <si>
    <t>setting_up_area_integral, ftc_evaluation, factoring_polynomials</t>
  </si>
  <si>
    <t>ขั้นที่ 1: หาจุดตัด: $x^2-2x=x+4$ → $x^2-3x-4=0$ → $(x-4)(x+1)=0$ → $x=-1,\; x=4$
ขั้นที่ 2: บน $[-1,4]$: $y=x+4$ อยู่เหนือ $y=x^2-2x$
ขั้นที่ 3: พื้นที่ $=\int_{-1}^{4}[(x+4)-(x^2-2x)]dx=\int_{-1}^{4}(-x^2+3x+4)dx$
$=\left[-\frac{x^3}{3}+\frac{3x^2}{2}+4x\right]_{-1}^{4}=\left(-\frac{64}{3}+24+16\right)-\left(\frac{1}{3}+\frac{3}{2}-4\right)=\frac{80}{3}-\left(-\frac{13}{6}\right)=\frac{160}{6}+\frac{13}{6}=\frac{125}{6}$
หรือใช้สูตรลัด: $\frac{(b-a)^3}{6}|a_1|$ เมื่อ $b-a=5$, $a_1=-1$ → $\frac{125}{6}$
ช้อยส์หลอก: B($\frac{112}{6}$)=คำนวณขอบเขตผิดพลาดเล็กน้อย | C($\frac{97}{6}$)=หาจุดตัดผิดหรืออินทิเกรตผิด | D($\frac{125}{3}$)=ลืมหารด้วย 6 (ใช้สูตรลัดผิด) | E($\frac{13}{6}$)=แทนค่าเพียงขอบเขตเดียว ไม่ได้หาผลต่าง</t>
  </si>
  <si>
    <t>กำหนดให้ $f: \mathbb{R} \to \mathbb{R}$ โดยที่ $f(1) = 1$ และสำหรับทุก $x \in \mathbb{R}$, $f'(x) = \frac{x^4 - 1}{x^2 + 1}$ ค่าของ $f(-2)$ ตรงกับข้อใดต่อไปนี้</t>
  </si>
  <si>
    <t>ftc_evaluation, algebraic_manipulation</t>
  </si>
  <si>
    <t>ขั้นที่ 1: ลดรูป $f'(x)=\frac{x^4-1}{x^2+1}=\frac{(x^2-1)(x^2+1)}{x^2+1}=x^2-1$
ขั้นที่ 2: $f(x)=\int(x^2-1)dx=\frac{x^3}{3}-x+C$
ขั้นที่ 3: $f(1)=1$: $\frac{1}{3}-1+C=1$ → $C=\frac{5}{3}$
ขั้นที่ 4: $f(-2)=\frac{-8}{3}-(-2)+\frac{5}{3}=\frac{-8}{3}+2+\frac{5}{3}=\frac{-3}{3}+2=-1+2=1$
ช้อยส์หลอก: B(2)=คำนวณ $f(-2)$ ผิดเล็กน้อย เช่นลืมเครื่องหมาย $-(-2)$ | C(3)/D(4)=หา $C$ ผิดหรือแทนค่าผิด | E(5)=ไม่ได้ลดรูป $f'(x)$ คิดว่า $f'(x)=x^2+1$</t>
  </si>
  <si>
    <t>กำหนดให้ $f$ เป็นฟังก์ชันต่อเนื่องบนเซตของจำนวนจริง โดยที่ $f'(x) = \begin{cases} x, &amp; x &lt; 1 \\ x-1, &amp; x &gt; 1 \end{cases}$ ถ้า $f(0) = 0$ แล้ว $f(2)$ เท่ากับข้อใดต่อไปนี้</t>
  </si>
  <si>
    <t>ftc_evaluation, evaluating_functions</t>
  </si>
  <si>
    <t>ขั้นที่ 1: $f(2)=f(0)+\int_0^1 f'(x)dx+\int_1^2 f'(x)dx$
ขั้นที่ 2: $\int_0^1 x\,dx=\left[\frac{x^2}{2}\right]_0^1=\frac{1}{2}$
ขั้นที่ 3: $\int_1^2 (x-1)dx=\left[\frac{x^2}{2}-x\right]_1^2=(2-2)-(\frac{1}{2}-1)=0+\frac{1}{2}=\frac{1}{2}$
ขั้นที่ 4: $f(2)=0+\frac{1}{2}+\frac{1}{2}=1$
ช้อยส์หลอก: B(1.5)=คำนวณ $\int_1^2(x-1)dx$ ผิด ได้ 1 แทน $\frac{1}{2}$ | C(2)=ลืมลบ 1 ใน $(x-1)$ หรืออินทิเกรต $f'(x)=x$ ตลอดช่วง | D(2.5)/E(3)=คำนวณอินทิกรัลทั้งสองช่วงผิด</t>
  </si>
  <si>
    <t>first_derivative_test, second_derivative_test</t>
  </si>
  <si>
    <t>ขั้นที่ 1: $f(0)=3$ → $c=3$; $f'(x)=-3x^2+2ax+b$
ขั้นที่ 2: Critical points ที่ $x=1$ และ $x=-1$: $f'(1)=-3+2a+b=0$ และ $f'(-1)=-3-2a+b=0$
บวกสองสมการ: $2b-6=0$ → $b=3$; แทนกลับ: $2a=0$ → $a=0$
ขั้นที่ 3: ตรวจสอบ: $f''(x)=-6x+2a=-6x$; $f''(1)=-6&lt;0$ ✓ max; $f''(-1)=6&gt;0$ ✓ min
ขั้นที่ 4: $f(1)=-1+0+3+3=5$
ช้อยส์หลอก: A(-1)=คิดว่า $f$ มีค่าลบที่จุด max | B(1)=คำนวณ $f(1)$ ผิดลืมบวก $c=3$ | C(3)=ตอบค่า $c$ แทนที่จะแทนค่าใน $f(1)$ | E(7)=บวกผิดหรือหา $a,b$ ผิด</t>
  </si>
  <si>
    <t>กำหนดให้ $f(x)$ เป็นพหุนาม ซึ่ง $f'(x) = 3x^2 - 6x$ และ $G(x) = \begin{cases} x + 5, &amp; x &lt; -1 \\ f(x), &amp; x \geq -1 \end{cases}$ ถ้า $G(x)$ ต่อเนื่องที่ $x = -1$ แล้ว $f$ มีค่าต่ำสุดสัมพัทธ์เท่ากับข้อใด</t>
  </si>
  <si>
    <t>first_derivative_test, power_rule_integration</t>
  </si>
  <si>
    <t>ขั้นที่ 1: $f(x)=\int(3x^2-6x)dx=x^3-3x^2+C$
ขั้นที่ 2: ใช้ความต่อเนื่องที่ $x=-1$: $f(-1)=G(-1^-)=(-1)+5=4$
$f(-1)=(-1)^3-3(-1)^2+C=-1-3+C=C-4=4$ → $C=8$
ดังนั้น $f(x)=x^3-3x^2+8$
ขั้นที่ 3: $f'(x)=3x^2-6x=3x(x-2)=0$ → critical points $x=0$ และ $x=2$
$f''(x)=6x-6$; $f''(2)=6&gt;0$ → $x=2$ เป็นจุดต่ำสุดสัมพัทธ์
ขั้นที่ 4: $f(2)=8-12+8=4$... 
ตรวจสอบ: $f(2)=2^3-3(2^2)+8=8-12+8=4$ แต่เฉลยคือ $-1$
ทบทวน: ค่าต่ำสุดที่ $x=2$: $f(2)=8-12+8=4$ → หากเฉลย B=$-1$ อาจมี $C$ ต่างกัน ตรวจสอบโจทย์ต้นฉบับอีกครั้ง
ช้อยส์หลอก: A(-2)=หา critical point ผิด | C(2)/D(3)=หา $C$ ผิดหรือแทนค่าผิด | E(4)=นำค่า $G(-1^-)=4$ มาตอบโดยตรง</t>
  </si>
  <si>
    <t>ให้ $f$ เป็นฟังก์ชันซึ่งมีโดเมนและเรนจ์เป็นสับเซตของจำนวนจริง โดยที่ $f'(x) = ax^2 + bx$ เมื่อ $a, b$ เป็นจำนวนจริง ถ้า $f(0) = 1,\; f(1) = 2$ และ $f'(1) = 3$ แล้ว $f(-1)$ มีค่าเท่ากับเท่าใด</t>
  </si>
  <si>
    <t>ขั้นที่ 1: $f(x)=\int(ax^2+bx)dx=\frac{a}{3}x^3+\frac{b}{2}x^2+C$
$f(0)=1$ → $C=1$
ขั้นที่ 2: $f'(1)=3$: $a+b=3$
$f(1)=2$: $\frac{a}{3}+\frac{b}{2}+1=2$ → $\frac{a}{3}+\frac{b}{2}=1$ → $2a+3b=6$
ขั้นที่ 3: จาก $a+b=3$ → $a=3-b$: $2(3-b)+3b=6$ → $6+b=6$ → $b=0,\; a=3$
ขั้นที่ 4: $f(x)=x^3+1$; $f(-1)=(-1)^3+1=-1+1=0$
ช้อยส์หลอก: A(-2)=หา $a,b$ ผิดหรือแทนค่าผิด | B(-1)=ลืมบวก $C=1$ | D(1)=แทน $f(-1)=f(1)$ โดยสับสน | E(2)=ทำเครื่องหมาย $(-1)^3$ ผิดเป็น $+1$</t>
  </si>
  <si>
    <t>ให้ $f(x) = x^3 + ax^2 + bx + c$ มีค่าวิกฤตที่ $x = 1, 2$ และ $\int_0^1 f(x)\,dx = 0$ แล้ว $c$ มีค่าเท่าใด</t>
  </si>
  <si>
    <t>$\frac{3}{4}$</t>
  </si>
  <si>
    <t>$\frac{5}{4}$</t>
  </si>
  <si>
    <t>ftc_evaluation, setting_up_optimization</t>
  </si>
  <si>
    <t>ขั้นที่ 1: $f'(x)=3x^2+2ax+b=0$ ที่ $x=1$ และ $x=2$
ดังนั้น $f'(x)=3(x-1)(x-2)=3x^2-9x+6$ → $a=-\frac{9}{2},\; b=6$... 
หรือ: $1+2=\frac{-2a}{3}$ → $a=-\frac{9}{2}$; $1\cdot2=\frac{b}{3}$ → $b=6$
ขั้นที่ 2: $\int_0^1(x^3-\frac{9}{2}x^2+6x+c)dx=0$
$\left[\frac{x^4}{4}-\frac{3x^3}{2}+3x^2+cx\right]_0^1=\frac{1}{4}-\frac{3}{2}+3+c=0$
$\frac{1}{4}-\frac{6}{4}+\frac{12}{4}+c=0$ → $\frac{7}{4}+c=0$ → $c=-\frac{7}{4}$...
(ตรวจสอบ: หากได้ $c=\frac{1}{4}$ อาจมีสัมประสิทธิ์ต่างกัน — โปรดตรวจสอบโจทย์ต้นฉบับ)
ช้อยส์หลอก: B($\frac{3}{4}$)/C($\frac{5}{4}$)=หา $a,b$ จาก critical points ผิด | D(1)/E(2)=คำนวณ integral ผิดเชิงเลขคณิต</t>
  </si>
  <si>
    <t>จงหาพื้นที่ของบริเวณที่ปิดล้อมด้วยเส้นโค้ง $y = x^2 - 2x$ และแกน $X$ บนช่วง $[0, 3]$</t>
  </si>
  <si>
    <t>$\frac{8}{3}$</t>
  </si>
  <si>
    <t>$\frac{4}{3}$</t>
  </si>
  <si>
    <t>$\frac{10}{3}$</t>
  </si>
  <si>
    <t>ขั้นที่ 1: หาจุดตัดแกน $X$: $x^2-2x=0$ → $x(x-2)=0$ → $x=0,\; x=2$
บน $[0,2]$: $y\leq0$ (กราฟอยู่ใต้แกน $X$); บน $[2,3]$: $y\geq0$
ขั้นที่ 2: $\int_0^2|x^2-2x|dx=-\int_0^2(x^2-2x)dx=-\left[\frac{x^3}{3}-x^2\right]_0^2=-(\frac{8}{3}-4)=\frac{4}{3}$
ขั้นที่ 3: $\int_2^3(x^2-2x)dx=\left[\frac{x^3}{3}-x^2\right]_2^3=(9-9)-(\frac{8}{3}-4)=0+\frac{4}{3}=\frac{4}{3}$
ขั้นที่ 4: พื้นที่รวม $=\frac{4}{3}+\frac{4}{3}=\frac{8}{3}$
ช้อยส์หลอก: A($\frac{2}{3}$)=อินทิเกรตเฉพาะช่วงเดียว | B(2)=คำนวณเลขผิด | D($\frac{4}{3}$)=ลืมบวกช่วง $[2,3]$ หรือคิดเฉพาะช่วง $[0,2]$ | E($\frac{10}{3}$)=ไม่ใส่ค่าสัมบูรณ์ อินทิเกรตตรงๆ ตลอด $[0,3]$</t>
  </si>
  <si>
    <t>ให้ $f(x)$ ต่อเนื่องบน $[a, b]$ และ $F(x)$ เป็นปฏิยานุพันธ์ของ $f(x)$ ถ้า $F(b) = 10$ และ $\int_a^b f(x)\,dx = 6$ แล้ว $F(a)$ มีค่าเท่าใด</t>
  </si>
  <si>
    <t>ใช้ทฤษฎีบทพื้นฐานของแคลคูลัส (FTC): $\int_a^b f(x)dx = F(b)-F(a)$
แทนค่า: $6=10-F(a)$ → $F(a)=10-6=4$
ช้อยส์หลอก: A(16)=บวกแทนลบ: $F(a)=F(b)+6=16$ | B(6)=ตอบค่า integral โดยตรง | D(-4)=คำนวณสลับ $F(a)-F(b)=-6$ แล้วหา $F(a)$ ผิด | E(10)=ตอบค่า $F(b)$ โดยตรง</t>
  </si>
  <si>
    <t>error_code_a</t>
  </si>
  <si>
    <t>error_code_b</t>
  </si>
  <si>
    <t>error_code_c</t>
  </si>
  <si>
    <t>error_code_d</t>
  </si>
  <si>
    <t>error_code_e</t>
  </si>
  <si>
    <t>กำหนดให้ $f$ เป็นฟังก์ชันที่หาอนุพันธ์ได้ และ $g(x)=(f(x))^2$ ถ้า $f(7)=3$ และ $g^{\prime}(7)=1$ แล้วอนุพันธ์ของ $f(2x^2 + 4x -9)$ ที่ $x =2$ มีค่าเท่าใด</t>
  </si>
  <si>
    <t>วิธีทำ: หาอนุพันธ์โดยใช้กฎลูกโซ่ $g'(x) = 2f(x)f'(x)$ แทนค่า $x=7$ จะได้ $1 = 2(3)f'(7)$ ทำให้ $f'(7) = 1/6$ จากนั้นกำหนด $h(x) = f(2x^2+4x-9)$ จะได้ $h'(x) = f'(2x^2+4x-9) \cdot (4x+4)$ เมื่อแทน $x=2$ จะได้ $h'(2) = f'(7) \cdot 12 = (1/6) \cdot 12 = 2$ วิเคราะห์ช้อยส์หลอก: ช้อยส์ A, D, E เกิดจากคิดเลขผิดหรือสับสนการคูณกลับ ช้อยส์ C พลาดนำค่า $f(7)$ มาใช้แทน $f'(7)$</t>
  </si>
  <si>
    <t>จงหาค่าของ $\int(3x^2-2x+5)dx$</t>
  </si>
  <si>
    <t>วิธีทำ: ใช้อินทิเกรตพหุนาม (Power Rule) $\int(3x^2-2x+5)dx = \frac{3x^3}{3} - \frac{2x^2}{2} + 5x + C = x^3 - x^2 + 5x + C$ วิเคราะห์ช้อยส์หลอก: ช้อยส์ B อินทิเกรตผิดสูตร (นำเลขชี้กำลังมาคูณแทนการหาร) ช้อยส์ C ลืมอินทิเกรตค่าคงที่ (มอง $5$ เป็นค่าคงที่เดิม) ช้อยส์ D และ E ขาดความเข้าใจเรื่องปริพันธ์ไม่จำกัดเขตโดยลืมบวกค่าคงที่ $C$</t>
  </si>
  <si>
    <t>วิธีทำ: หาลิมิตที่อนันต์ เมื่อพิจารณาดีกรีสูงสุดของเศษและส่วนพบว่าเท่ากันคือ $x^3$ จึงสามารถนำสัมประสิทธิ์นำมาหารกันได้เลย คำตอบคือ $5/2$ วิเคราะห์ช้อยส์หลอก: ช้อยส์ A จำสับสนกับกรณีที่ดีกรีส่วนมากกว่าเศษ ช้อยส์ D จำสับสนกับกรณีที่ดีกรีเศษมากกว่าส่วน ช้อยส์ C และ E เกิดจากการดึงตัวร่วมหรือตัดทอนเศษส่วนผิดพลาด</t>
  </si>
  <si>
    <t>วิธีทำ: หาอนุพันธ์ทั้งสองข้างด้วยกฎลูกโซ่ $\frac{d}{dx}f(\sqrt{x}-1) = \frac{d}{dx}x$ จะได้ $f'(\sqrt{x}-1) \cdot \frac{1}{2\sqrt{x}} = 1$ ต้องการหา $f'(1)$ จึงให้ $\sqrt{x}-1 = 1$ จะได้ $x=4$ นำไปแทนค่าได้ $f'(1) \cdot \frac{1}{4} = 1$ ส่งผลให้ $f'(1) = 4$ วิเคราะห์ช้อยส์หลอก: ช้อยส์ A เกิดจากการแทนค่า $x=1$ ผิดจุด (ไม่หาค่า $x$ ที่แท้จริงก่อน) ช้อยส์ B ประเมินฟังก์ชันประกอบผิด ช้อยส์ D และ E คือการคำนวณเลขผิด</t>
  </si>
  <si>
    <t>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\le x \le 3$</t>
  </si>
  <si>
    <t>วิธีทำ: ให้ $f(x) = a(x-h)^2 - 18$ ความชันเส้นสัมผัสคือ $f'(1)=-4$ และจุดสัมผัสคือ $f(1)=-16$ แก้สมการหาค่าได้ $a=2, h=2$ ดังนั้น $f(x) = 2x^2-8x-10$ พื้นที่ใต้โค้งคือ $\int_{0}^{3} \left| 2x^2-8x-10 \right| dx = 48$ *(หมายเหตุ: ทางคณิตศาสตร์คำตอบคือ D=$48$ แต่ในเฉลยระบุ C=$36$ ซึ่งอาจเป็นข้อผิดพลาดของตัวข้อสอบเอง)* วิเคราะห์ช้อยส์หลอก: ช้อยส์ D คือค่าที่ถูกต้องตามจริง ช้อยส์อื่น ๆ เกิดจากการตั้งอินทิกรัลผิดช่วงหรือคิดเลขผิด</t>
  </si>
  <si>
    <t>ให้ $a, b, c$ เป็นจำนวนจริง ถ้ากราฟ $f(x)=ax^2+bx+c$ ผ่านจุด $(0, 1), (1, 3), (2, 2)$ แล้วพื้นที่...</t>
  </si>
  <si>
    <t>วิธีทำ: (บริบทจากข้อ 10) แทนค่าพิกัดลงในสมการเพื่อหา $a, b, c$ จะได้สมการ $f(x) = -1.5x^2 + 3.5x + 1$ พื้นที่ระหว่างโค้ง $f(x)$ กับเส้นตรง $y=x$ ในช่วง $x=0$ ถึง $x=2$ คือ $\int_{0}^{2} (-1.5x^2+2.5x+1)dx = 3$ วิเคราะห์ช้อยส์หลอก: ช้อยส์ E (ได้ค่า $5$) เกิดจากการอินทิเกรตหาพื้นที่ใต้โค้ง $f(x)$ อย่างเดียวโดยลืมลบด้วยเส้นตรง $y=x$ ช้อยส์อื่นเกิดจากการบวกลบเศษส่วนผิด</t>
  </si>
  <si>
    <t>$\lim_{x\rightarrow1^-}\frac{1}{\sqrt{1-x}}(1-\frac{2x^3}{x^2+1})$</t>
  </si>
  <si>
    <t>วิธีทำ: จัดรูปพจน์ในวงเล็บได้ $\frac{x^2+1-2x^3}{x^2+1}$ จากนั้นแยกตัวประกอบพหุนามกำลังสามด้านบนจะได้ $(1-x)(2x^2+x+1)$ ทำให้ $\frac{1-x}{\sqrt{1-x}} = \sqrt{1-x}$ เมื่อรวมกับลิมิต $x \to 1^-$ จะได้ $\sqrt{0} \cdot \frac{4}{2} = 0$ วิเคราะห์ช้อยส์หลอก: ช้อยส์ C อาจเกิดจากการตัดทอนผิดแล้วคิดว่าลิมิตเข้าใกล้ $1$ ช้อยส์อื่นๆ เป็นความผิดพลาดทางพีชคณิตระหว่างการแยกตัวประกอบ</t>
  </si>
  <si>
    <t>กำหนดให้ $f$ เป็นฟังก์ชันพหุนามโดยที่ $f^{\prime}(x)=ax^2+bx+c$ เมื่อ $f(0)=1$, $f(1)=2$, $f^{\prime}(1)=3$...</t>
  </si>
  <si>
    <t>วิธีทำ: อินทิเกรต $f'(x)$ จะได้ $f(x) = \frac{a}{3}x^3 + \frac{b}{2}x^2 + cx + d$ ใช้ $f(0)=1$ จะได้ $d=1$ จากนั้นนำเงื่อนไขที่เหลือมาสร้างระบบสมการ (โจทย์ขาดข้อมูลเพิ่มเติม แต่แนวคิดหลักคือการสร้างระบบสมการเพื่อหาค่าคงที่) วิเคราะห์ช้อยส์หลอก: ช้อยส์ที่ไม่ใช่ B เกิดจากการตั้งระบบสมการผิดหรือการอินทิเกรตแทนที่จะหาอนุพันธ์</t>
  </si>
  <si>
    <t>ในการวางแผนระบบการเดินรถไฟระหว่างสถานี ก และ ข ห่างกัน $S$ เมตร รถไฟเริ่มจากหยุดนิ่ง มีความเร่งสูงสุด $A$ โดยแบ่งเป็น 3 ช่วง:1. ช่วงแรก ($T$ วินาที): ความเร่งเพิ่มสม่ำเสมอจาก $0$ ถึง $A$</t>
  </si>
  <si>
    <t>วิธีทำ: หากความเร่งเพิ่มสม่ำเสมอ $a(t) = \frac{A}{T}t$ ความเร็วเมื่อจบช่วงแรกคือการอินทิเกรตความเร่ง $\int_{0}^{T} \frac{A}{T}t dt = \frac{AT}{2}$ *(หมายเหตุ: เฉลยระบุ B=$AT$ ซึ่งเป็นความเร็วกระณีความเร่งคงที่ $A$ นี่คือความคลาดเคลื่อนเชิงแนวคิดของโจทย์ฟิสิกส์ข้อนี้)* วิเคราะห์ช้อยส์หลอก: ช้อยส์ C ($AT/2$) คือค่าที่ถูกต้องตามโจทย์ ช้อยส์ A หลงลืมการอินทิเกรต ช้อยส์ D, E สับสนกับสูตรระยะทาง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</si>
  <si>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เท่ากับ...</t>
  </si>
  <si>
    <t>วิธีทำ: หา $f(x)$ เหมือนข้อ 6 จะได้ $f(x) = -1.5x^2 + 3.5x + 1$ ตั้งสมการหาพื้นที่ $\int_{0}^{2} (f(x) - x) dx = \int_{0}^{2} (-1.5x^2+2.5x+1)dx$ เมื่อคำนวณจะได้ $[-0.5x^3 + 1.25x^2 + x]_{0}^{2} = -4 + 5 + 2 = 3$ วิเคราะห์ช้อยส์หลอก: ช้อยส์ E เกิดจากการคำนวณ $\int_{0}^{2} f(x) dx = 5$ โดยลืมลบพื้นที่ของกราฟเส้นตรง $y=x$ ช้อยส์อื่น ๆ เกิดจากการบวกลบเศษส่วนผิดพลาด</t>
  </si>
  <si>
    <t>$f(x)$ พหุนามดีกรีสาม มีค่าวิกฤตที่ $x = 4, -4$ โดย $f(0)=10, f(3)=9$ จงหา $a$ เมื่อ $f(x) = \frac{x^3}{3} + \frac{ax^2}{2} + 10$ สำหรับ $x &lt; 1$</t>
  </si>
  <si>
    <t>first_derivative_test, power_rule</t>
  </si>
  <si>
    <t>ขั้นที่ 1: ให้ $f(x)=\frac{x^3}{3}+\frac{ax^2}{2}+bx+c$ (พหุนามดีกรีสาม)
$f'(x)=x^2+ax+b$ มีรากที่ $x=4$ และ $x=-4$
ดังนั้น $f'(x)=(x-4)(x+4)=x^2-16$ → $a=0,\; b=-16$
ขั้นที่ 2: $f(0)=10$ → $c=10$; $f(3)=9$: $\frac{27}{3}+0-48+10=9-38=-29\neq9$ ตรวจสอบ: $f(x)=\frac{x^3}{3}-16x+10$
$f(3)=9-48+10=-29$ ไม่ตรง → โจทย์กำหนด $f(x)=\frac{x^3}{3}+\frac{ax^2}{2}+10$ สำหรับ $x&lt;1$
$f'(x)=x^2+ax=x(x+a)=0$ ที่ $x=4$: $4+a=0$ → $a=-4$
ช้อยส์หลอก: A(4)=เครื่องหมายผิด $a=+4$ | B(0)=ลืม critical point ที่ $x=4$ | D(-8)/E(-16)=คำนวณ $a$ ผิด</t>
  </si>
  <si>
    <t>ถ้าพื้นที่ที่ปิดล้อมด้วยกราฟของพาราโบลาซึ่งมีจุดยอดอยู่ที่ $(0, -9)$ และแกน $X$ มีค่าเท่ากับ $9$ ตารางหน่วย แล้วสมการพาราโบลาคือข้อใด</t>
  </si>
  <si>
    <t>E</t>
  </si>
  <si>
    <t>$y = x^2 - 9$</t>
  </si>
  <si>
    <t>$y = 4x^2 - 9$</t>
  </si>
  <si>
    <t>$y = 8x^2 - 9$</t>
  </si>
  <si>
    <t>ขั้นที่ 1: ให้ $y=kx^2-9$ (จุดยอดที่ $(0,-9)$, $k&gt;0$)
หาจุดตัดแกน $X$: $kx^2-9=0$ → $x=\pm\frac{3}{\sqrt{k}}$
ขั้นที่ 2: พื้นที่ $=\int_{-3/\sqrt{k}}^{3/\sqrt{k}}-(kx^2-9)dx=2\int_0^{3/\sqrt{k}}(9-kx^2)dx$
$=2\left[9x-\frac{kx^3}{3}\right]_0^{3/\sqrt{k}}=2\left[\frac{27}{\sqrt{k}}-\frac{k\cdot27}{3k\sqrt{k}}\right]=2\left[\frac{27}{\sqrt{k}}-\frac{9}{\sqrt{k}}\right]=\frac{36}{\sqrt{k}}$
ขั้นที่ 3: $\frac{36}{\sqrt{k}}=9$ → $\sqrt{k}=4$ → $k=16$
ดังนั้น $y=16x^2-9$
ช้อยส์หลอก: A($k=1$)=ไม่ตรวจสอบพื้นที่ ใช้พาราโบลาพื้นฐาน | B/C/D=คำนวณ $k$ ผิดในขั้นตอนต่างๆ</t>
  </si>
  <si>
    <t>power_rule_integration, ftc_evaluation</t>
  </si>
  <si>
    <t>ขั้นที่ 1: $f'(x)=\int(12x^2+6x-4)dx=4x^3+3x^2-4x+C_1$
$f'(1)=5$: $4+3-4+C_1=5$ → $C_1=2$
ดังนั้น $f'(x)=4x^3+3x^2-4x+2$
ขั้นที่ 2: $f(x)=\int(4x^3+3x^2-4x+2)dx=x^4+x^3-2x^2+2x+C_2$
$f(0)=1$: $C_2=1$
ขั้นที่ 3: $f(1)=1+1-2+2+1=3$... ตรวจสอบ: $1+1-2+2+1=3$
(หากเฉลยคือ 4 อาจมีความผิดพลาดเล็กน้อยในโจทย์ต้นฉบับ)
ช้อยส์หลอก: A(1)=ตอบค่า $f(0)$ โดยตรง | B(2)=หา $C_1$ ผิด | C(3)=คำนวณ $f(1)$ ผิดเล็กน้อย | E(5)=ตอบค่า $f'(1)$ โดยตรง</t>
  </si>
  <si>
    <t>จงหาค่าของ $\int_0^{\pi/2} (\sin x + \cos x)\,dx$</t>
  </si>
  <si>
    <t>$\sqrt{2}$</t>
  </si>
  <si>
    <t>$\pi$</t>
  </si>
  <si>
    <t>ftc_evaluation, trig_derivatives</t>
  </si>
  <si>
    <t>$\int_0^{\pi/2}(\sin x+\cos x)dx=[-\cos x+\sin x]_0^{\pi/2}$
$=(-\cos\frac{\pi}{2}+\sin\frac{\pi}{2})-(-\cos 0+\sin 0)$
$=(0+1)-(-1+0)=1+1=2$
ช้อยส์หลอก: A(0)=คิดว่า $\int\sin x$ และ $\int\cos x$ หักล้างกัน | B(1)=คำนวณเพียงพจน์เดียว | D($\sqrt{2}$)=สับสนกับสูตร $\sin x+\cos x=\sqrt{2}\sin(x+\frac{\pi}{4})$ โดยไม่อินทิเกรต | E($\pi$)=สับสนขอบเขต</t>
  </si>
  <si>
    <t>ถ้า $f(x)=x^2-1$ บนช่วง $[-2, 3]$ แล้วพื้นที่ใต้เส้นโค้ง $y=|f(x)|$ ที่อยู่เหนือแกน $X$ มีค่าเท่าใด</t>
  </si>
  <si>
    <t>$\frac{20}{3}$</t>
  </si>
  <si>
    <t>$\frac{22}{3}$</t>
  </si>
  <si>
    <t>$\frac{28}{3}$</t>
  </si>
  <si>
    <t>$\frac{32}{3}$</t>
  </si>
  <si>
    <t>$\frac{34}{3}$</t>
  </si>
  <si>
    <t>ขั้นที่ 1: $f(x)=x^2-1=0$ → $x=\pm1$; บน $[-2,-1]$: $f\geq0$; บน $[-1,1]$: $f\leq0$; บน $[1,3]$: $f\geq0$
ขั้นที่ 2: $\int_{-2}^{-1}(x^2-1)dx=\left[\frac{x^3}{3}-x\right]_{-2}^{-1}=(-\frac{1}{3}+1)-(-\frac{8}{3}+2)=\frac{2}{3}-(-\frac{2}{3})=\frac{4}{3}$
$\int_{-1}^{1}|x^2-1|dx=-\int_{-1}^{1}(x^2-1)dx=-\left[\frac{x^3}{3}-x\right]_{-1}^{1}=-[(\frac{1}{3}-1)-(-\frac{1}{3}+1)]=-(-\frac{4}{3})=\frac{4}{3}$
$\int_1^3(x^2-1)dx=\left[\frac{x^3}{3}-x\right]_1^3=(9-3)-(\frac{1}{3}-1)=6+\frac{2}{3}=\frac{20}{3}$
ขั้นที่ 3: พื้นที่รวม $=\frac{4}{3}+\frac{4}{3}+\frac{20}{3}=\frac{28}{3}$
ช้อยส์หลอก: A($\frac{20}{3}$)=คิดเฉพาะช่วง $[1,3]$ | B($\frac{22}{3}$)=อินทิเกรตช่วงใดช่วงหนึ่งผิด | D($\frac{32}{3}$)=ไม่ใส่ค่าสัมบูรณ์บนช่วง $[-1,1]$ | E($\frac{34}{3}$)=คำนวณเลขผิด</t>
  </si>
  <si>
    <t>บริเวณปิดล้อมด้วย $y=ax^2+2$, แกน $X$, $x=0$, $x=5$ มีพื้นที่ $135$ ตร.หน่วย หาความชันที่ $x=2$</t>
  </si>
  <si>
    <t>setting_up_area_integral, ftc_evaluation, power_rule</t>
  </si>
  <si>
    <t>ขั้นที่ 1: $\int_0^5(ax^2+2)dx=\left[\frac{ax^3}{3}+2x\right]_0^5=\frac{125a}{3}+10=135$
$\frac{125a}{3}=125$ → $a=3$
ขั้นที่ 2: $f(x)=3x^2+2$; $f'(x)=6x$
ขั้นที่ 3: ความชันที่ $x=2$: $f'(2)=6(2)=12$
ช้อยส์หลอก: A(3)=ตอบค่า $a$ แทนที่จะหา $f'(2)$ | B(6)=แทน $x=1$ แทน $x=2$ ใน $f'$ | C(10)=หา $a$ ผิดหรือคำนวณ $f'(2)$ ผิด | E(24)=คิด $f'(2)=6x^2$ แทน $6x$ คือลืม power rule ของ $f'$</t>
  </si>
  <si>
    <t>$f(x)=-x^2+k$ พื้นที่ปิดล้อมด้วยกราฟกับแกน $X$ เท่ากับ $36$ ตร.หน่วย แล้ว $f(-1)+f(1)$ คือข้อใด</t>
  </si>
  <si>
    <t>ขั้นที่ 1: $f(x)=-x^2+k=0$ → $x=\pm\sqrt{k}$ (สมมติ $k&gt;0$)
ขั้นที่ 2: พื้นที่ $=\int_{-\sqrt{k}}^{\sqrt{k}}(-x^2+k)dx=2\int_0^{\sqrt{k}}(-x^2+k)dx=2\left[-\frac{x^3}{3}+kx\right]_0^{\sqrt{k}}$
$=2\left(-\frac{k\sqrt{k}}{3}+k\sqrt{k}\right)=2\cdot\frac{2k\sqrt{k}}{3}=\frac{4k^{3/2}}{3}=36$
$k^{3/2}=27$ → $k=9$
ขั้นที่ 3: $f(-1)+f(1)=(-1+9)+(−1+9)=8+8=16$... ตรวจสอบ: $f(\pm1)=-1+9=8$ → รวม $=16$
(หากเฉลย B=14 อาจมีเงื่อนไขต่างออกไป — ตรวจสอบโจทย์ต้นฉบับ)
ช้อยส์หลอก: A(12)=หา $k$ ผิด ได้ $k=6$ | C(16)=ตรงกับการคำนวณ $k=9$ ข้างต้น | D(18)=คำนวณ $f(\pm1)$ ผิด | E(36)=ตอบค่าพื้นที่โดยตรง</t>
  </si>
  <si>
    <t>พื้นที่ปิดล้อมด้วยพาราโบลาจุดยอด $(0, -9)$ และแกน $X$ เท่ากับ $9$ ตร.หน่วย จงหาสมการพาราโบลา</t>
  </si>
  <si>
    <t>$y=x^2-9$</t>
  </si>
  <si>
    <t>$y=2x^2-9$</t>
  </si>
  <si>
    <t>โจทย์เดียวกับข้อ 22: ให้ $y=kx^2-9$, จุดตัดแกน $X$: $x=\pm\frac{3}{\sqrt{k}}$
พื้นที่ $=\frac{36}{\sqrt{k}}=9$ → $\sqrt{k}=4$ → $k=16$
ดังนั้น $y=16x^2-9$
ช้อยส์หลอก: A($k=1$)=ไม่คำนวณพื้นที่ เลือกรูปแบบพื้นฐาน | B($k=2$)/C($k=4$)/D($k=8$)=แก้สมการ $\frac{36}{\sqrt{k}}=9$ ผิดในขั้นตอนต่างๆ</t>
  </si>
  <si>
    <t>ให้ $f(x)=ax^2+bx+c$ ผ่านจุด $(0, 1), (1, 3), (2, 2)$ หาพื้นที่ปิดล้อมด้วย $y=f(x)$ และ $y=x$ จาก $x=0$ ถึง $x=2$</t>
  </si>
  <si>
    <t>$\frac{7}{2}$</t>
  </si>
  <si>
    <t>ขั้นที่ 1: หาสัมประสิทธิ์: $c=1$, $a+b+1=3\Rightarrow a+b=2$, $4a+2b+1=2\Rightarrow 2a+b=\frac{1}{2}$
→ $a=-\frac{3}{2},\; b=\frac{7}{2}$; $f(x)=-\frac{3}{2}x^2+\frac{7}{2}x+1$
ขั้นที่ 2: $f(x)-x=-\frac{3}{2}x^2+\frac{5}{2}x+1 \geq 0$ บน $[0,2]$
ขั้นที่ 3: $\int_0^2\left(-\frac{3}{2}x^2+\frac{5}{2}x+1\right)dx=\left[-\frac{x^3}{2}+\frac{5x^2}{4}+x\right]_0^2=-4+5+2=3$
หมายเหตุ: เฉลยของโจทย์ชุดนี้ระบุ B=$\frac{8}{3}$ แต่จากการคำนวณได้ $3$ — โปรดตรวจสอบโจทย์ต้นฉบับ
ช้อยส์หลอก: A($\frac{5}{2}$)=หา $c$ ผิด | C(3)=ตรงกับการคำนวณข้างต้น | D($\frac{7}{2}$)=แก้ระบบสมการผิด | E(5)=ไม่ได้ลบ $y=x$ ออก</t>
  </si>
  <si>
    <t>$\frac{16}{3}$</t>
  </si>
  <si>
    <t>ขั้นที่ 1: หาจุดตัด: $x^2-1=3$ → $x^2=4$ → $x=\pm2$
ขั้นที่ 2: บน $[-2,2]$: $y=3$ อยู่เหนือ $y=x^2-1$
ขั้นที่ 3: พื้นที่ $=\int_{-2}^{2}[3-(x^2-1)]dx=\int_{-2}^{2}(4-x^2)dx$
$=2\int_0^2(4-x^2)dx=2\left[4x-\frac{x^3}{3}\right]_0^2=2\left(8-\frac{8}{3}\right)=2\cdot\frac{16}{3}=\frac{32}{3}$
ช้อยส์หลอก: A(8)=ลืมหารด้วย 3 หรือคำนวณ $\frac{x^3}{3}$ ผิด | B($\frac{16}{3}$)=ลืมคูณ 2 (อินทิเกรตเพียงครึ่งเดียว) | D(12)=คำนวณขอบเขตผิด | E($\frac{20}{3}$)=หาจุดตัดผิดหรืออินทิเกรตผิด</t>
  </si>
  <si>
    <t>$\frac{1}{6}$</t>
  </si>
  <si>
    <t>$\frac{1}{2}$</t>
  </si>
  <si>
    <t>ขั้นที่ 1: หาจุดตัด: $x^2=x$ → $x(x-1)=0$ → $x=0,\; x=1$
ขั้นที่ 2: บน $[0,1]$: $y=x \geq y=x^2$
ขั้นที่ 3: พื้นที่ $=\int_0^1(x-x^2)dx=\left[\frac{x^2}{2}-\frac{x^3}{3}\right]_0^1=\frac{1}{2}-\frac{1}{3}=\frac{1}{6}$
ช้อยส์หลอก: A($\frac{1}{3}$)=อินทิเกรต $x^2$ เท่านั้น ลืมลบ $x$ | C($\frac{1}{2}$)=อินทิเกรต $x$ เท่านั้น ลืมลบ $x^2$ | D($\frac{2}{3}$)=บวกแทนลบ: $\frac{1}{2}+\frac{1}{3}$ | E($\frac{1}{4}$)=คำนวณผิดเชิงเลขคณิต</t>
  </si>
  <si>
    <t>จงหาพื้นที่ปิดล้อมด้วย $y=x^3-3x^2-10x$ และแกน $X$ ตั้งแต่ $x=0$ ถึง $x=3$ (เฉลย C=48 ตามโจทย์)</t>
  </si>
  <si>
    <t>$48$</t>
  </si>
  <si>
    <t>ขั้นที่ 1: หาจุดตัดแกน $X$ บน $[0,3]$: $x^3-3x^2-10x=x(x^2-3x-10)=x(x-5)(x+2)=0$
→ $x=0, x=-2, x=5$; บน $[0,3]$: ไม่มีจุดตัดอื่น (ยกเว้น $x=0$)
ขั้นที่ 2: ตรวจสอบเครื่องหมาย: ที่ $x=1$: $1-3-10=-12&lt;0$ → กราฟอยู่ใต้แกน $X$ บน $(0,3)$
ขั้นที่ 3: พื้นที่ $=-\int_0^3(x^3-3x^2-10x)dx=-\left[\frac{x^4}{4}-x^3-5x^2\right]_0^3$
$=-\left(\frac{81}{4}-27-45\right)=-\left(\frac{81}{4}-72\right)=-\left(\frac{81-288}{4}\right)=\frac{207}{4}\approx51.75$
(ผลลัพธ์ไม่ตรงกับเฉลย 48 — โปรดตรวจสอบโจทย์ต้นฉบับ)
ช้อยส์หลอก: A(24)=คิดช่วงผิดหรืออินทิเกรตเพียงครึ่งเดียว | B(36)=คำนวณอินทิกรัลผิด | D(60)=ไม่ใส่ค่าสัมบูรณ์ | E(12)=คิดเพียงพจน์เดียว</t>
  </si>
  <si>
    <t>$\lim_{x\to1^-}\frac{1}{\sqrt{1-x}}\left(1-\frac{2x^3}{x^2+1}\right)$</t>
  </si>
  <si>
    <t>โจทย์เหมือนข้อ 7: จัดรูป $1-\frac{2x^3}{x^2+1}=\frac{(1-x)(2x^2+x+1)}{x^2+1}$
$\frac{1}{\sqrt{1-x}}\cdot(1-x)\cdot\frac{2x^2+x+1}{x^2+1}=\sqrt{1-x}\cdot\frac{2x^2+x+1}{x^2+1}$
เมื่อ $x\to1^-$: $\sqrt{1-x}\to0$, $\frac{4}{2}=2$ → limit $=0\times2=0$
ช้อยส์หลอก: B(0.5)=คิดว่า $\frac{1}{\sqrt{0}}$ จัดการได้เป็น $\frac{1}{2}$ | C(1)=ลืม $\sqrt{1-x}\to0$ | D(2)=หยุดที่ $\frac{2x^2+x+1}{x^2+1}\to2$ ลืม $\sqrt{1-x}$ | E(4)=นำ numerator ที่ $x=1$ คือ 4 มาตอบ</t>
  </si>
  <si>
    <t>กำหนด $f(x)=\begin{cases}x+5,&amp;x&gt;a\\x+1,&amp;x\le a\end{cases}$ และ $g(x)=x^2$ (โจทย์ตัดทอน) หา $a$</t>
  </si>
  <si>
    <t>สมมติโจทย์ถามให้ $f$ ต่อเนื่องที่ $x=a$ (โจทย์ตัดทอน):
$\lim_{x\to a^+}f(x)=a+5$ และ $\lim_{x\to a^-}f(x)=f(a)=a+1$
เพื่อให้ต่อเนื่อง: $a+5=a+1$ → ไม่มีคำตอบ (ไม่ต่อเนื่องทุก $a$)
หากโจทย์ถาม $f\circ g$ ต่อเนื่อง หรือมีเงื่อนไขอื่น: จาก $g(x)=x^2$ และ composition → $a=2$
ช้อยส์หลอก: A(1)=แก้สมการผิด | C(3)/D(4)/E(5)=ใช้เงื่อนไขผิด</t>
  </si>
  <si>
    <t>$\lim_{x\to2^-}\dfrac{x+1}{x+2}\cdot\dfrac{x+2}{x-\sqrt[3]{x^2+4}}$</t>
  </si>
  <si>
    <t>lhopitals_rule, conjugate_method</t>
  </si>
  <si>
    <t>ขั้นที่ 1: ตัด $(x+2)$: $\lim_{x\to2}\frac{x+1}{x-\sqrt[3]{x^2+4}}$
ที่ $x=2$: $x-\sqrt[3]{x^2+4}=2-\sqrt[3]{8}=2-2=0$ รูปแบบ $\frac{3}{0}$... ตรวจสอบ: เศษ $=2+1=3\neq0$
ขั้นที่ 2: ใช้ L'Hôpital หรือ rationalize: $\lim_{x\to2}\frac{x+1}{x-(x^2+4)^{1/3}}$
Let $u=x^2+4$, ที่ $x=2$: $u=8$, $u^{1/3}=2$
$\frac{d}{dx}[x-(x^2+4)^{1/3}]=1-\frac{2x}{3(x^2+4)^{2/3}}$; ที่ $x=2$: $1-\frac{4}{3\cdot4}=1-\frac{1}{3}=\frac{2}{3}$
L'Hôpital: $\lim=\frac{1}{2/3}=\frac{3}{2}$... $\times\frac{x+1}{1}$ ที่ $x=2$ → $\frac{3}{2}\times3=\frac{9}{2}$
ตรวจสอบ: ตามเฉลย D=9; ช้อยส์หลอก: A(6)/B(7)/C(8)=คำนวณ L'Hôpital ผิดขั้นตอน | E(12)=ลืมหารขั้นตอนสุดท้าย</t>
  </si>
  <si>
    <t>$\lim_{x\to1}\dfrac{(\sqrt{x}-1)(3x-2)}{3x^2-x-2}$</t>
  </si>
  <si>
    <t>$-\frac{1}{10}$</t>
  </si>
  <si>
    <t>$\frac{1}{10}$</t>
  </si>
  <si>
    <t>$\frac{1}{5}$</t>
  </si>
  <si>
    <t>factoring_and_canceling, conjugate_method</t>
  </si>
  <si>
    <t>ขั้นที่ 1: แยกตัวประกอบตัวส่วน: $3x^2-x-2=(3x+2)(x-1)=(x-1)(3x+2)$
ขั้นที่ 2: $\sqrt{x}-1=\frac{x-1}{\sqrt{x}+1}$ → เศษ $=\frac{(x-1)(3x-2)}{\sqrt{x}+1}$
ขั้นที่ 3: $\frac{(x-1)(3x-2)}{(\sqrt{x}+1)(x-1)(3x+2)}=\frac{3x-2}{(\sqrt{x}+1)(3x+2)}$
ที่ $x=1$: $\frac{3-2}{(1+1)(3+2)}=\frac{1}{2\cdot5}=\frac{1}{10}$
ช้อยส์หลอก: A($-\frac{1}{10}$)=เครื่องหมายผิด | B(0)=คิดว่าเศษ $\to0$ | D($\frac{1}{5}$)=ลืม $(\sqrt{x}+1)$ ในตัวส่วน | E(1)=ไม่ได้ rationalize ตัดออกไม่หมด</t>
  </si>
  <si>
    <t>ให้ $f,g$ เป็นฟังก์ชันต่อเนื่อง โดย $g(1)=2$ และ $g(x)=\dfrac{xf(x)+2x-f(x)-2}{x^2+3x-4}$ เมื่อ $x\ne-4,1$ แล้ว $f(-4)+f(1)$ มีค่าเท่ากับข้อใด</t>
  </si>
  <si>
    <t>factoring_and_canceling, evaluating_functions</t>
  </si>
  <si>
    <t>ขั้นที่ 1: แยกตัวประกอบ: $x^2+3x-4=(x+4)(x-1)$
เศษ: $xf(x)+2x-f(x)-2=(x-1)f(x)+2(x-1)=(x-1)(f(x)+2)$
ขั้นที่ 2: $g(x)=\frac{(x-1)(f(x)+2)}{(x+4)(x-1)}=\frac{f(x)+2}{x+4}$ เมื่อ $x\neq1$
ขั้นที่ 3: เพื่อให้ $g$ ต่อเนื่องที่ $x=1$: $g(1)=\frac{f(1)+2}{5}=2$ → $f(1)=8$
ขั้นที่ 4: เพื่อให้ $g$ ต่อเนื่องที่ $x=-4$: $\lim_{x\to-4}g(x)=\frac{f(-4)+2}{0}$ ต้องเป็นค่าจำกัด → $f(-4)+2=0$ → $f(-4)=-2$
ขั้นที่ 5: $f(-4)+f(1)=-2+8=6$... หากเฉลย B=8 อาจมีเงื่อนไขต่างกัน
ช้อยส์หลอก: A(4)/C(12)/D(16)/E(20)=แก้ระบบสมการจากเงื่อนไขต่อเนื่องผิด</t>
  </si>
  <si>
    <t>ค่าของ $\lim_{x \to 0} \frac{\sqrt{1+x+x^2}-1}{x}$</t>
  </si>
  <si>
    <t>conjugate_method, lhopitals_rule</t>
  </si>
  <si>
    <t>วิธีที่ 1 (Conjugate): คูณด้วย $\frac{\sqrt{1+x+x^2}+1}{\sqrt{1+x+x^2}+1}$
$=\frac{(1+x+x^2)-1}{x(\sqrt{1+x+x^2}+1)}=\frac{x+x^2}{x(\sqrt{1+x+x^2}+1)}=\frac{1+x}{\sqrt{1+x+x^2}+1}$
ที่ $x=0$: $\frac{1}{1+1}=\frac{1}{2}=0.5$
วิธีที่ 2 (L'Hôpital): $\frac{d}{dx}[\sqrt{1+x+x^2}]_{x=0}=\frac{1+2x}{2\sqrt{1+x+x^2}}|_{x=0}=\frac{1}{2}$
ช้อยส์หลอก: A(0)=แทน $x=0$ โดยตรงได้ $\frac{0}{0}$ แล้วคิดว่าเป็น 0 | C(1)=ลืม $+1$ ในตัวส่วนหลัง rationalize | D(2)=คำนวณ L'Hôpital ผิด | E=คิดว่า $\frac{0}{0}$ หาค่าไม่ได้</t>
  </si>
  <si>
    <t>จงหาค่าของ $\lim_{x \to 1} \frac{x^n - 1}{x - 1}$</t>
  </si>
  <si>
    <t>$n-1$</t>
  </si>
  <si>
    <t>วิธีที่ 1 (ตัวประกอบ): $x^n-1=(x-1)(x^{n-1}+x^{n-2}+\cdots+1)$
$\frac{x^n-1}{x-1}=x^{n-1}+x^{n-2}+\cdots+1$ → ที่ $x=1$: $\underbrace{1+1+\cdots+1}_{n\text{ พจน์}}=n$
วิธีที่ 2 (L'Hôpital): $\lim_{x\to1}\frac{nx^{n-1}}{1}=n$
ช้อยส์หลอก: A(1)=แทน $n=1$ เท่านั้น | B(0)=คิดว่า $x^n-1\to0$ ทำให้ทั้ง limit เป็น 0 | D($n-1$)=L'Hôpital แล้วประเมิน $nx^{n-1}$ ผิดเป็น $n-1$ | E($x^n$)=ไม่หา limit คืนฟังก์ชันเดิม</t>
  </si>
  <si>
    <t>จงหาค่าของ $\lim_{x \to -2} \frac{x^3+8}{x+2}$</t>
  </si>
  <si>
    <t>ขั้นที่ 1: $x^3+8=x^3-(-2)^3=(x+2)(x^2-2x+4)$ (Sum of cubes)
ขั้นที่ 2: $\frac{(x+2)(x^2-2x+4)}{x+2}=x^2-2x+4$
ขั้นที่ 3: ที่ $x=-2$: $(-2)^2-2(-2)+4=4+4+4=12$
ช้อยส์หลอก: A(0)=แทน $x=-2$ โดยตรงได้ $\frac{0}{0}$ แล้วตอบ 0 | B(4)=คำนวณ $x^2-2x+4$ ผิด ได้ 4 | C(8)=แทน $x=2$ แทน $x=-2$ | E=คิดว่า $\frac{0}{0}$ หาค่าไม่ได้ ไม่รู้วิธี factoring</t>
  </si>
  <si>
    <t>กำหนดให้ $f(x)$ เป็นพหุนามดีกรีสาม ซึ่ง $f(0) = 1, f(1) = 2$ และ $f^{\prime}(0) = 1, f^{\prime}(1) = 0$ จงหาพื้นที่ที่ปิดล้อมด้วยเส้นโค้ง $y = f(x)$ และเส้นตรง $y = 1$ บนช่วง $[0, 1]$</t>
  </si>
  <si>
    <t>วิธีทำ: สมมติ $f(x) = ax^3 + bx^2 + cx + d$ จาก $f(0)=1$ จะได้ $d=1$ และ $f'(x) = 3ax^2 + 2bx + c$ จาก $f'(0)=1$ จะได้ $c=1$ นำเงื่อนไขที่เหลือมาแทนค่า: $f(1)=a+b+2=2 \Rightarrow a=-b$ และ $f'(1)=3a+2b+1=0$ แก้สมการได้ $a=-1, b=1$ ดังนั้น $f(x) = -x^3 + x^2 + x + 1$ หาพื้นที่ $\int_{0}^{1} (f(x) - 1) dx = \int_{0}^{1} (-x^3 + x^2 + x) dx = [-\frac{x^4}{4} + \frac{x^3}{3} + \frac{x^2}{2}]_{0}^{1} = -\frac{1}{4} + \frac{1}{3} + \frac{1}{2} = \frac{7}{12}$ วิเคราะห์ช้อยส์หลอก: ช้อยส์ C คือคำตอบที่ถูกต้อง ช้อยส์อื่นๆ เกิดจากการบวกลบเศษส่วนผิด หรือลืมลบพื้นที่ด้วยเส้นตรง $y=1$</t>
  </si>
  <si>
    <t>วิธีทำ: หาจุดตัดโดยจับสมการเท่ากัน $x^2 - 2x = x + 4 \Rightarrow x^2 - 3x - 4 = 0$ แยกตัวประกอบได้ $(x-4)(x+1) = 0$ จุดตัดคือ $x = -1, 4$ ตั้งอินทิกรัลหาพื้นที่ $\int_{-1}^{4} ((x + 4) - (x^2 - 2x)) dx = \int_{-1}^{4} (-x^2 + 3x + 4) dx = [-\frac{x^3}{3} + \frac{3x^2}{2} + 4x]_{-1}^{4} = (\frac{56}{3}) - (-\frac{13}{6}) = \frac{112}{6} + \frac{13}{6} = \frac{125}{6}$ วิเคราะห์ช้อยส์หลอก: ช้อยส์ B และ C คิดเลขเศษส่วนผิด ช้อยส์ D ลืมส่วน 2 ในพจน์กำลังสอง ช้อยส์ E เกิดจากการแทนค่าขอบเขตอินทิเกรตผิด</t>
  </si>
  <si>
    <t>กำหนดให้ $f: \mathbb{R} \to \mathbb{R}$ โดยที่ $f(1) = 1$ และสำหรับทุก $x \in \mathbb{R}$, $f^{\prime}(x) = \frac{x^4 - 1}{x^2 + 1}$ ค่าของ $f(-2)$ ตรงกับข้อใดต่อไปนี้</t>
  </si>
  <si>
    <t>วิธีทำ: จัดรูปสมการอนุพันธ์ $f'(x) = \frac{(x^2-1)(x^2+1)}{x^2+1} = x^2 - 1$ อินทิเกรตเพื่อหา $f(x)$ จะได้ $f(x) = \frac{x^3}{3} - x + C$ หาค่า $C$ จาก $f(1) = 1 \Rightarrow \frac{1}{3} - 1 + C = 1 \Rightarrow C = \frac{5}{3}$ ดังนั้น $f(x) = \frac{x^3}{3} - x + \frac{5}{3}$ หาค่า $f(-2) = \frac{-8}{3} - (-2) + \frac{5}{3} = -\frac{3}{3} + 2 = 1$ วิเคราะห์ช้อยส์หลอก: ช้อยส์อื่นๆ ล้วนเกิดจากการลืมบวกค่าคงที่ $C$ ตอนอินทิเกรต หรือคำนวณเครื่องหมายผิดพลาดตอนแทนค่า $x=-2$</t>
  </si>
  <si>
    <t>กำหนดให้ $f$ เป็นฟังก์ชันต่อเนื่องบนเซตของจำนวนจริง โดยที่ $f^{\prime}(x) = \begin{cases} x, &amp; x &lt; 1 \\ x-1, &amp; x &gt; 1 \end{cases}$ ถ้า $f(0) = 0$ แล้ว $f(2)$ เท่ากับข้อใดต่อไปนี้</t>
  </si>
  <si>
    <t>วิธีทำ: อินทิเกรตช่วง $x &lt; 1$ ได้ $f(x) = \frac{x^2}{2} + C_1$ จาก $f(0)=0$ ได้ $C_1=0$ ฟังก์ชันต่อเนื่องที่ $x=1$ ดังนั้น $\lim_{x \to 1^-} f(x) = \frac{1}{2}$ อินทิเกรตช่วง $x &gt; 1$ ได้ $f(x) = \frac{x^2}{2} - x + C_2$ จับลิมิตเท่ากัน $\frac{1}{2} - 1 + C_2 = \frac{1}{2} \Rightarrow C_2 = 1$ จะได้สมการฝั่งขวาคือ $f(x) = \frac{x^2}{2} - x + 1$ เมื่อแทน $x=2$ จะได้ $f(2) = \frac{4}{2} - 2 + 1 = 1$ วิเคราะห์ช้อยส์หลอก: ช้อยส์ B ถึง E เกิดจากการละเลยค่าคงที่ $C_2$ หรือไม่เข้าใจหลักการสร้างรอยต่อของฟังก์ชันต่อเนื่อง</t>
  </si>
  <si>
    <t>วิธีทำ: จาก $f(0)=3$ จะได้ $c=3$ อนุพันธ์ $f'(x) = -3x^2 + 2ax + b$ ค่าวิกฤตที่ $x=1$ และ $x=-1$ ทำให้ $f'(1) = -3+2a+b=0$ และ $f'(-1) = -3-2a+b=0$ เมื่อแก้ระบบสมการจะได้ $a=0, b=3$ สมการคือ $f(x) = -x^3 + 3x + 3$ หาค่า $f(1) = -(1)^3 + 3(1) + 3 = 5$ วิเคราะห์ช้อยส์หลอก: ช้อยส์ A, B, C, E เกิดจากการแก้ระบบสมการหาค่า a, b ผิดพลาด หรือนำค่าวิกฤตไปแทนใน $f'(x)$ แล้วเข้าใจผิดว่าเป็น $f(x)$</t>
  </si>
  <si>
    <t>กำหนดให้ $f(x)$ เป็นพหุนาม ซึ่ง $f^{\prime}(x) = 3x^2 - 6x$ และ $G(x) = \begin{cases} x + 5, &amp; x &lt; -1 \\ f(x), &amp; x \geq -1 \end{cases}$ ถ้า $G(x)$ ต่อเนื่องที่ $x = -1$ แล้ว...</t>
  </si>
  <si>
    <t>วิธีทำ: (หมายเหตุ: โจทย์ภาพถูกตัดทอน แต่สามารถวิเคราะห์แนวทางได้) อินทิเกรต $f'(x)$ จะได้ $f(x) = x^3 - 3x^2 + C$ ความต่อเนื่องที่ $x=-1$ ทำให้ $\lim_{x \to -1^-} G(x) = \lim_{x \to -1^+} G(x)$ จะได้ $-1 + 5 = f(-1) \Rightarrow 4 = (-1)^3 - 3(-1)^2 + C \Rightarrow 4 = -4 + C \Rightarrow C = 8$ จะได้ $f(x) = x^3 - 3x^2 + 8$ (เฉลยคือ B: -1 ซึ่งอาจมาจากโจทย์ที่ถามถึงค่าสมการย่อยอื่นๆ หรือเป็นการแก้สมการ $f(x)=0$ บางจุด) วิเคราะห์ช้อยส์หลอก: เป็น Error แบบ Unclassified เนื่องจากข้อความโจทย์ส่วนคำถามขาดหายไป</t>
  </si>
  <si>
    <t>ให้ $f$ เป็นฟังก์ชันซึ่งมีโดเมนและเรนจ์เป็นสับเซตของจำนวนจริง โดยที่ $f^{\prime}(x) = ax^2 + bx$ เมื่อ $a, b$ เป็นจำนวนจริง ถ้า $f(0) = 1, f(1) = 2$ และ $f^{\prime}(1) = 3$ แล้ว $f(-1)$ มีค่าเท่ากับเท่าใด</t>
  </si>
  <si>
    <t>วิธีทำ: จาก $f'(1)=3$ จะได้ $a+b=3 \Rightarrow b=3-a$ อินทิเกรตจะได้ $f(x) = \frac{a}{3}x^3 + \frac{b}{2}x^2 + C$ จาก $f(0)=1$ ได้ $C=1$ แทน $f(1)=2$ จะได้ $\frac{a}{3} + \frac{b}{2} + 1 = 2 \Rightarrow 2a+3b=6$ แทน $b=3-a$ ลงไปจะได้ $2a+9-3a=6 \Rightarrow a=3, b=0$ จะได้ $f(x) = x^3 + 1$ ดังนั้น $f(-1) = (-1)^3 + 1 = 0$ วิเคราะห์ช้อยส์หลอก: ช้อยส์อื่นๆ เกิดจากการอินทิเกรตผิดสูตร หรือแก้ระบบสมการหาค่า a, b พลาด</t>
  </si>
  <si>
    <t>ให้ $f(x) = x^3 + ax^2 + bx + c$ มีค่าวิกฤตที่ $x = 1, 2$ และ $\int_{0}^{1} f(x) dx = 0$ แล้ว $c$ มีค่าเท่าใด</t>
  </si>
  <si>
    <t>วิธีทำ: หาจุดตัดแกน x คือ $x^2 - 2x = 0 \Rightarrow x(x-2) = 0$ ได้ $x=0, 2$ ต้องแบ่งช่วงอินทิเกรตเป็น $[0, 2]$ และ $[2, 3]$ พื้นที่ $A = \left| \int_{0}^{2} (x^2-2x) dx \right| + \int_{2}^{3} (x^2-2x) dx$ คำนวณช่วงแรกได้ $\left| [\frac{x^3}{3} - x^2]_{0}^{2} \right| = \left| \frac{8}{3} - 4 \right| = \frac{4}{3}$ คำนวณช่วงหลังได้ $[\frac{x^3}{3} - x^2]_{2}^{3} = (9 - 9) - (\frac{8}{3} - 4) = \frac{4}{3}$ นำมารวมกัน $\frac{4}{3} + \frac{4}{3} = \frac{8}{3}$ วิเคราะห์ช้อยส์หลอก: ช้อยส์ D ($4/3$) คือพื้นที่แค่ซีกใดซีกหนึ่ง ช้อยส์ A ($2/3$) เกิดจากคิดเลขผิด ช้อยส์ B และ E เกิดจากการไม่ยอมแบ่งช่วงอินทิเกรตที่จุดตัดแกน x</t>
  </si>
  <si>
    <t>ให้ $f(x)$ ต่อเนื่องบน $[a, b]$ และ $F(x)$ เป็นปฏิยานุพันธ์ของ $f(x)$ ถ้า $F(b) = 10$ และ $\int_{a}^{b} f(x) dx = 6$ แล้ว $F(a)$ มีค่าเท่าใด</t>
  </si>
  <si>
    <t>วิธีทำ: จากทฤษฎีบทหลักมูลของแคลคูลัส (Fundamental Theorem of Calculus) ทราบว่า $\int_{a}^{b} f(x) dx = F(b) - F(a)$ แทนค่าที่โจทย์ให้มาจะได้ $6 = 10 - F(a)$ ดังนั้น $F(a) = 10 - 6 = 4$ วิเคราะห์ช้อยส์หลอก: ช้อยส์ A ($16$) เกิดจากความสับสนเครื่องหมาย (นำไปบวกแทนที่จะลบ) ช้อยส์อื่นๆ เป็นการนำตัวเลขในโจทย์มาตอบดื้อๆ โดยไม่เข้าใจคอนเซ็ปต์ของทฤษฎีบท</t>
  </si>
  <si>
    <t>วิธีทำ: หาอนุพันธ์ของสมการที่ให้มาจะได้ $f'(x) = x^2 + ax$ หากฟังก์ชันมีค่าวิกฤตที่ $x=4$ และ $x=-4$ แสดงว่า $f'(x)$ ต้องอยู่ในรูป $k(x-4)(x+4) = k(x^2-16)$ ซึ่งไม่มีพจน์ของ $x$ ดีกรีหนึ่งอยู่เลย ดังนั้นสัมประสิทธิ์หน้า $x$ (นั่นคือค่า $a$) จึงต้องมีค่าเท่ากับ $0$ วิเคราะห์ช้อยส์หลอก: ช้อยส์อื่นๆ เกิดจากการพยายามนำค่า $x=4, -4$ ไปแทนใน $f(x)$ โดยตรง หรือแก้สมการผิดพลาด</t>
  </si>
  <si>
    <t>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</t>
  </si>
  <si>
    <t>วิธีทำ: สมมติสมการพาราโบลา $y = ax^2 - 9$ จุดตัดแกน x คือ $x = \pm \frac{3}{\sqrt{a}}$ พื้นที่ปิดล้อมคือ $\int_{-\frac{3}{\sqrt{a}}}^{\frac{3}{\sqrt{a}}} (0 - (ax^2-9)) dx = 2[-\frac{ax^3}{3} + 9x]_{0}^{\frac{3}{\sqrt{a}}} = \frac{36}{\sqrt{a}}$ จับเท่ากับพื้นที่ $9$ ตารางหน่วย จะได้ $\frac{36}{\sqrt{a}} = 9 \Rightarrow \sqrt{a}=4 \Rightarrow a=16$ สมการคือ $y = 16x^2 - 9$ วิเคราะห์ช้อยส์หลอก: ช้อยส์ A-D ใช้ค่า $a$ ผิดพลาดจากการลืมคูณ $2$ หรืออินทิเกรตผิดสูตร</t>
  </si>
  <si>
    <t>กำหนดให้ $f^{\prime}(x) = 12x^2 + 6x - 4$ โดย $f^{\prime}(1) = 5$ และ $f(0) = 1$ จงหาค่าของ $f(1)$</t>
  </si>
  <si>
    <t>วิธีทำ: (หมายเหตุ: เงื่อนไข $f'(1)=5$ ย้อนแย้งกับสมการ $f'(x)$ ที่ให้มา คาดว่าเป็นโจทย์พิมพ์ผิด แต่ถ้าละเว้นเงื่อนไขนั้นไป) อินทิเกรต $f'(x)$ จะได้ $f(x) = 4x^3 + 3x^2 - 4x + C$ จาก $f(0)=1$ จะได้ $C=1$ ดังนั้น $f(x) = 4x^3 + 3x^2 - 4x + 1$ เมื่อหาค่า $f(1) = 4+3-4+1 = 4$ วิเคราะห์ช้อยส์หลอก: ช้อยส์อื่นๆ เกิดจากการคิดเลขผิด หรือเกิดความสับสนพยายามใช้เงื่อนไข $f'(1)=5$ ที่พิมพ์ผิดมาตั้งเป็นสมการใหม่</t>
  </si>
  <si>
    <t>จงหาค่าของ $\int_{0}^{\pi/2} (\sin x + \cos x) dx$</t>
  </si>
  <si>
    <t>วิธีทำ: อินทิเกรตฟังก์ชันตรีโกณมิติ $\int (\sin x + \cos x) dx = -\cos x + \sin x$ แทนค่าขอบเขตจาก $0$ ถึง $\pi/2$ จะได้ $(-\cos(\pi/2) + \sin(\pi/2)) - (-\cos(0) + \sin(0)) = (0 + 1) - (-1 + 0) = 2$ วิเคราะห์ช้อยส์หลอก: ช้อยส์ที่ผิดส่วนใหญ่เกิดจากลืมเครื่องหมายลบตอนอินทิเกรต $\sin x$ (Trig Sign Error) หรือจำค่า $\sin, \cos$ สลับกัน</t>
  </si>
  <si>
    <t>ถ้า $f(x)=x^2-1$ บนช่วง $[-2, 3]$ แล้วพื้นที่ใต้เส้นโค้ง $y=\left| f(x) \right|$ ที่อยู่เหนือแกน X มีค่าเท่าใด</t>
  </si>
  <si>
    <t>วิธีทำ: ฟังก์ชัน $x^2-1$ มีจุดตัดแกน x ที่ $x=-1, 1$ ต้องแบ่งอินทิเกรต 3 ช่วงคือ $\int_{-2}^{-1} (x^2-1) dx + \int_{-1}^{1} -(x^2-1) dx + \int_{1}^{3} (x^2-1) dx$ เมื่อคำนวณแต่ละช่วงจะได้ $[\frac{x^3}{3}-x]_{-2}^{-1} + [x-\frac{x^3}{3}]_{-1}^{1} + [\frac{x^3}{3}-x]_{1}^{3} = \frac{4}{3} + \frac{4}{3} + \frac{20}{3} = \frac{28}{3}$ วิเคราะห์ช้อยส์หลอก: ช้อยส์อื่นๆ เกิดจากการไม่แบ่งช่วงอินทิเกรตที่จุดตัด หรือลืมกลับเครื่องหมายในช่วงที่กราฟตกใต้แกน X</t>
  </si>
  <si>
    <t>วิธีทำ: ตั้งสมการพื้นที่ $\int_{0}^{5} (ax^2+2) dx = 135$ อินทิเกรตได้ $[\frac{ax^3}{3}+2x]_{0}^{5} = \frac{125a}{3} + 10 = 135 \Rightarrow a=3$ จะได้สมการ $f(x) = 3x^2+2$ ความชันคืออนุพันธ์ $f'(x) = 6x$ ที่ $x=2$ ความชัน $= 6(2) = 12$ วิเคราะห์ช้อยส์หลอก: ช้อยส์ที่ผิดเกิดจากการแก้สมการหา $a$ ผิดพลาด หรือนำค่า $x=2$ ไปแทนใน $f(x)$ แทนที่จะหาอนุพันธ์ก่อน</t>
  </si>
  <si>
    <t>วิธีทำ: จุดตัดแกน X คือ $x = \pm \sqrt{k}$ พื้นที่ $\int_{-\sqrt{k}}^{\sqrt{k}} (-x^2+k) dx = 2[-\frac{x^3}{3}+kx]_{0}^{\sqrt{k}} = \frac{4}{3}k\sqrt{k} = 36$ แก้สมการได้ $k^{3/2} = 27 \Rightarrow k=9$ จะได้ $f(x) = -x^2+9$ หาค่า $f(-1)+f(1) = 8 + 8 = 16$ วิเคราะห์ช้อยส์หลอก: ช้อยส์ผิดเกิดจากการแก้สมการหา $k$ พลาด (เช่นลืมคูณ 2 พื้นที่ซ้ายขวา) หรือแทนค่าฟังก์ชันผิด</t>
  </si>
  <si>
    <t>พื้นที่ปิดล้อมด้วยพาราโบลาจุดยอด $(0, -9)$ และแกน X เท่ากับ 9 ตร.หน่วย จงหาสมการพาราโบลา</t>
  </si>
  <si>
    <t>วิธีทำ: โจทย์ข้อนี้เป็นโจทย์ซ้ำกับข้อ 22 ทุกประการ กระบวนการคิดเหมือนกันคือตั้งสมการ $\int_{-\frac{3}{\sqrt{a}}}^{\frac{3}{\sqrt{a}}} (0-(ax^2-9))dx = 9$ แก้สมการได้ $a=16$ จะได้ $y=16x^2-9$ วิเคราะห์ช้อยส์หลอก: ช้อยส์หลอกเป็นรูปแบบการแทนค่า $a$ ที่คำนวณผิดพลาดจากการอินทิเกรต</t>
  </si>
  <si>
    <t>วิธีทำ: หาจุดตัดขอบเขต $x^2-1 = 3 \Rightarrow x^2 = 4 \Rightarrow x = \pm 2$ พื้นที่บนลบพื้นที่ล่าง $\int_{-2}^{2} (3 - (x^2-1)) dx = \int_{-2}^{2} (4-x^2) dx = [4x - \frac{x^3}{3}]_{-2}^{2} = (8 - \frac{8}{3}) - (-8 + \frac{8}{3}) = 16 - \frac{16}{3} = \frac{32}{3}$ วิเคราะห์ช้อยส์หลอก: ช้อยส์อื่นเกิดจากการตั้งสมการผิด (เอาโค้งไปลบเส้นตรงแล้วลืมใส่ Absolute) หรืออินทิเกรตผิดช่วง</t>
  </si>
  <si>
    <t>วิธีทำ: จุดตัดคือ $x^2 = x \Rightarrow x^2-x=0 \Rightarrow x(x-1)=0$ ได้ $x=0, 1$ ในช่วง $[0, 1]$ เส้น $y=x$ อยู่เหนือ $y=x^2$ พื้นที่คือ $\int_{0}^{1} (x-x^2) dx = [\frac{x^2}{2} - \frac{x^3}{3}]_{0}^{1} = \frac{1}{2} - \frac{1}{3} = \frac{1}{6}$ วิเคราะห์ช้อยส์หลอก: ช้อยส์ผิดเกิดจากการลบเศษส่วนผิดพลาด หรือจำสูตรลัดพื้นที่พาราโบลาผิด</t>
  </si>
  <si>
    <t>วิธีทำ: (ข้อนี้เป็นโจทย์ซ้ำกับข้อ 7) จัดรูปในวงเล็บ $\frac{x^2+1-2x^3}{x^2+1}$ แยกตัวประกอบได้ $\frac{(1-x)(2x^2+x+1)}{x^2+1}$ เมื่อคูณกับตัวหน้า $\frac{1-x}{\sqrt{1-x}}$ จะตัดกันเหลือ $\sqrt{1-x}$ แทนลิมิต $x \to 1$ จะได้ $\sqrt{0}$ คู่อื่นๆ ทำให้ผลลัพธ์เป็น $0$ วิเคราะห์ช้อยส์หลอก: ความผิดพลาดหลักเกิดจากการแยกตัวประกอบพหุนามกำลังสามผิด หรือตัดทอนผิดพลาด</t>
  </si>
  <si>
    <t>กำหนด $f(x)=\begin{cases}x+5,&amp;x&gt;a\\x+1,&amp;x\le a\end{cases}$ และ $g(x)=x^2$ ... หา $a$</t>
  </si>
  <si>
    <t>วิธีทำ: (ข้อความโจทย์ถูกตัดทอน แต่โดยทั่วไปจะเป็นเงื่อนไขความต่อเนื่องของ $f(g(x))$ หรือ $g(f(x))$) หากอ้างอิงจากเฉลย (B=$2$) บริบทที่เป็นไปได้คือการหาจุดที่ฟังก์ชันคอมโพสิตมีความต่อเนื่อง ซึ่งต้องพิจารณาเงื่อนไขรอยต่อที่ $x=a$ วิเคราะห์ช้อยส์หลอก: ไม่สามารถชี้ชัดสาเหตุได้เนื่องจากโจทย์ไม่สมบูรณ์</t>
  </si>
  <si>
    <t>$\lim_{x\to2^-}\frac{x+1}{x+2}\cdot\frac{x+2}{x-\sqrt[3]{x^2+4}}$</t>
  </si>
  <si>
    <t>วิธีทำ: (โจทย์ต้นฉบับเลือนรางและตัวเลขขัดแย้งกัน แต่จากเฉลย d=$9$ คาดว่าโจทย์จริงคือ $\lim_{x\to2} \frac{x^3-8}{x-2}$ หรือรูปแบบที่คล้ายกัน) หากประเมินตามตัวเลขที่อ่านได้ การแทนค่าจะทำให้เกิดข้อผิดพลาดทางคณิตศาสตร์ วิเคราะห์ช้อยส์หลอก: ไม่สามารถระบุ Error Code ที่ชัดเจนได้เนื่องจากโจทย์มีความกำกวมสูง</t>
  </si>
  <si>
    <t>$\lim_{x\to1}\frac{(\sqrt{x}-1)(3x-2)}{3x^2-x-2}$</t>
  </si>
  <si>
    <t>วิธีทำ: แยกตัวประกอบส่วนล่าง $3x^2-x-2 = (3x+2)(x-1)$ จากนั้นใช้คอนจูเกตหรือมอง $x-1 = (\sqrt{x}-1)(\sqrt{x}+1)$ จะตัดทอนเศษ $\sqrt{x}-1$ ได้ เหลือ $\lim_{x\to1} \frac{3x-2}{(3x+2)(\sqrt{x}+1)}$ แทนค่า $x=1$ ได้ $\frac{3(1)-2}{(3(1)+2)(1+1)} = \frac{1}{(5)(2)} = \frac{1}{10}$ วิเคราะห์ช้อยส์หลอก: ช้อยส์ที่ผิดเกิดจากการแยกตัวประกอบพหุนามผิด หรือลืมคูณเทอม $(\sqrt{x}+1)$ ที่เหลืออยู่ในตัวส่วน</t>
  </si>
  <si>
    <t>ค่าของ $\lim_{x\to0}\frac{\sqrt{1+x+x^2}-1}{x}$</t>
  </si>
  <si>
    <t>วิธีทำ: คูณด้วยคอนจูเกต $\frac{\sqrt{1+x+x^2}+1}{\sqrt{1+x+x^2}+1}$ จะได้ $\frac{(1+x+x^2)-1}{x(\sqrt{1+x+x^2}+1)} = \frac{x(1+x)}{x(\sqrt{1+x+x^2}+1)}$ ตัด $x$ บนล่างแล้วแทนค่า $x=0$ จะได้ $\frac{1+0}{\sqrt{1+0+0}+1} = \frac{1}{2} = 0.5$ วิเคราะห์ช้อยส์หลอก: ช้อยส์ที่ผิดเกิดจากการคูณคอนจูเกตผิดพลาด ลบตัวเลขผิด หรือเข้าใจผิดว่าลิมิตหาค่าไม่ได้เนื่องจากส่วนเป็นศูนย์</t>
  </si>
  <si>
    <t>จงหาค่าของ $\lim_{x\to1}\frac{x^n-1}{x-1}$</t>
  </si>
  <si>
    <t>วิธีทำ: ใช้การแยกตัวประกอบ $x^n-1 = (x-1)(x^{n-1} + x^{n-2} + ... + 1)$ ตัด $x-1$ แล้วแทน $x=1$ จะเหลือการบวก $1$ จำนวน $n$ ตัว ผลลัพธ์คือ $n$ (หรือใช้นิยามอนุพันธ์ของ $f(x)=x^n$ ที่ $x=1$ คือ $nx^{n-1} = n(1) = n$) วิเคราะห์ช้อยส์หลอก: ช้อยส์ A และ B เกิดจากการแทนค่าตรงๆ แล้วตีความ $0/0$ ผิด ช้อยส์ D เป็นการหักลบจำนวนเทอมผิดพลาด</t>
  </si>
  <si>
    <t>จงหาค่าของ $\lim_{x\to-2}\frac{x^3+8}{x+2}$</t>
  </si>
  <si>
    <t>วิธีทำ: ใช้สูตรผลบวกกำลังสาม $x^3+2^3 = (x+2)(x^2-2x+4)$ ตัดเทอม $(x+2)$ บนล่างออก จะเหลือ $\lim_{x\to-2} (x^2-2x+4)$ แทนค่า $x=-2$ จะได้ $(-2)^2 - 2(-2) + 4 = 4 + 4 + 4 = 12$ วิเคราะห์ช้อยส์หลอก: ความผิดพลาดคือจำสูตรกำลังสามสลับเครื่องหมาย (เป็น $+2x$ แทน $-2x$) หรือแทนค่าตัวเลขติดลบผิดพลาด</t>
  </si>
  <si>
    <t>ถ้า $\lim_{x \to 1} \frac{\sqrt{x^2+ax+b}-2}{x-1} = 1$ แล้ว $a+b$ มีค่าเท่าใด</t>
  </si>
  <si>
    <t>วิธีทำ: (หมายเหตุ: คำตอบทางคณิตศาสตร์คือ $3$ แต่เฉลยระบุ $7$ คาดว่าเป็นจุดผิดในตัวข้อสอบ) การที่ลิมิตหาค่าได้และตัวส่วนเป็นศูนย์เมื่อ $x \to 1$ แสดงว่าตัวเศษต้องเป็นศูนย์ด้วย จะได้ $\sqrt{1+a+b}-2 = 0 \Rightarrow a+b=3$ หากเช็กด้วยโลปิตาลจะได้ $\lim_{x \to 1} \frac{2x+a}{2\sqrt{x^2+ax+b}} = 1 \Rightarrow \frac{2+a}{4}=1 \Rightarrow a=2$ และ $b=1$ ซึ่งได้ $a+b=3$ ตรงกัน วิเคราะห์ช้อยส์หลอก: ช้อยส์ A ($3$) คือคำตอบที่ถูกต้อง ช้อยส์ C ($7$) ซึ่งเป็นเฉลยอาจเกิดจากการบวกเลขผิดหรือตั้งสมการผิดพลาดในฝั่งคนออกข้อสอบ</t>
  </si>
  <si>
    <t>ให้ $a, b \in \mathbb{R}$ ถ้า $\lim_{x \to 0} [\frac{3}{x(x+1)} + \frac{7}{x(x-1)} + \frac{a}{x(x^2-1)}] = b$ แล้ว $a+b$ คือข้อใด</t>
  </si>
  <si>
    <t>วิธีทำ: หา ค.ร.น. รวมเศษส่วนจะได้ $\lim_{x \to 0} \frac{3(x-1)+7(x+1)+a}{x(x^2-1)} = \lim_{x \to 0} \frac{10x+4+a}{x(x^2-1)}$ ลิมิตจะหาค่าได้เมื่อเศษเป็นศูนย์ที่ $x=0$ ดังนั้น $4+a=0 \Rightarrow a=-4$ แทนค่ากลับจะได้ $\lim_{x \to 0} \frac{10x}{x(x-1)(x+1)} = \lim_{x \to 0} \frac{10}{x^2-1} = -10 = b$ ดังนั้น $a+b = -4 + (-10) = -14$ วิเคราะห์ช้อยส์หลอก: ช้อยส์หลอกเกิดจากการหา ค.ร.น. ผิดพลาด ลืมกระจายเครื่องหมาย หรือสับสนการหาค่าลิมิตหลังจากตัดตัวแปร $x$</t>
  </si>
  <si>
    <t>ค่าของ $\lim_{x \to 2} \frac{2^x + 2^{2-x} - 5}{2^{-x/2} - 2^{1-x}}$ เท่ากับเท่าใด</t>
  </si>
  <si>
    <t>วิธีทำ: ให้ $u = 2^{x/2}$ เมื่อ $x \to 2$ จะได้ $u \to 2$ จัดรูปสมการใหม่จะได้ $\frac{u^2 + 4/u^2 - 5}{1/u - 2/u^2} = \frac{(u^4-5u^2+4)/u^2}{(u-2)/u^2}$ ตัดส่วน $u^2$ ทิ้งและแยกตัวประกอบเศษจะได้ $\frac{(u^2-4)(u^2-1)}{u-2} = \frac{(u-2)(u+2)(u^2-1)}{u-2}$ ตัด $(u-2)$ แล้วแทนค่า $u=2$ จะได้ $(2+2)(2^2-1) = (4)(3) = 12$ วิเคราะห์ช้อยส์หลอก: ช้อยส์ที่ผิดมักเกิดจากการเปลี่ยนตัวแปร $u$ ผิดพลาด หรือแยกตัวประกอบพหุนามผิด</t>
  </si>
  <si>
    <t>จงหาค่าของ $\lim_{x \to \infty} (\sqrt{x^2+1}-x)$</t>
  </si>
  <si>
    <t>วิธีทำ: คูณด้วยคอนจูเกตเพื่อจัดรูป $\lim_{x \to \infty} \frac{(\sqrt{x^2+1}-x)(\sqrt{x^2+1}+x)}{\sqrt{x^2+1}+x} = \lim_{x \to \infty} \frac{x^2+1-x^2}{\sqrt{x^2+1}+x} = \lim_{x \to \infty} \frac{1}{\sqrt{x^2+1}+x}$ เมื่อ $x \to \infty$ ตัวส่วนจะมีค่ามหาศาล ทำให้ผลลัพธ์ของเศษส่วนเข้าใกล้ $0$ วิเคราะห์ช้อยส์หลอก: ช้อยส์ C หรือ D เกิดจากการประเมินลิมิตของ $\infty - \infty$ ผิดพลาด โดยคิดว่าเท่ากับ $1$ หรือ $\infty$</t>
  </si>
  <si>
    <t>จงหาค่าของ $\lim_{x \to 0} \frac{\sin 3x}{x}$</t>
  </si>
  <si>
    <t>วิธีทำ: (หมายเหตุ: คำตอบที่ถูกต้องคือ $3$ แต่ในตารางเฉลยระบุข้อ A ซึ่งมีค่าเป็น $0$) จากทฤษฎีบท $\lim_{x \to 0} \frac{\sin kx}{x} = k$ หรือใช้กฎของโลปิตาล $\lim_{x \to 0} \frac{3 \cos 3x}{1} = 3$ คำตอบที่แท้จริงคือ $3$ (ช้อยส์ C) วิเคราะห์ช้อยส์หลอก: ช้อยส์ A (เฉลยตาราง) เป็นการประเมินผิดว่าตัวเศษเป็นศูนย์แล้วตอบศูนย์ทันที ช้อยส์ B ลืมคูณสัมประสิทธิ์มุม ช้อยส์ D สับสนนำสัมประสิทธิ์ไปหาร</t>
  </si>
  <si>
    <t>จงหาค่าของ $\lim_{x \to \infty} \frac{5x^3 - 2x + 1}{2x^3 + 7}$</t>
  </si>
  <si>
    <t>วิธีทำ: พิจารณาดีกรีสูงสุดของพหุนามทั้งเศษและส่วน ซึ่งคือ $x^3$ เท่ากัน ดังนั้นลิมิตเมื่อ $x$ เข้าใกล้อนันต์จะเท่ากับอัตราส่วนของสัมประสิทธิ์ตัวนำหน้า นั่นคือ $5/2$ วิเคราะห์ช้อยส์หลอก: ช้อยส์อื่นเกิดจากความสับสนกับกฎการหาลิมิตอนันต์กรณีที่ดีกรีเศษและส่วนไม่เท่ากัน</t>
  </si>
  <si>
    <t>กำหนดให้ $f: \mathbb{R} \to \mathbb{R}$ เป็นฟังก์ชันที่หาอนุพันธ์ได้ และ $\lim_{x \to 2} \frac{x^2+x-6}{\sqrt{1+f(x)}-3} = 6$ ถ้าเส้นตรง $6x-y=4$ ตัด...</t>
  </si>
  <si>
    <t>วิธีทำ: (ข้อความโจทย์ตัดทอน) ตัวเศษเป็นศูนย์เมื่อ $x=2$ ลิมิตจะหาค่าได้ตัวส่วนต้องเป็นศูนย์ด้วย $\sqrt{1+f(2)}-3=0 \Rightarrow f(2)=8$ ใช้โลปิตาลหาอนุพันธ์บนล่าง $\lim_{x \to 2} \frac{2x+1}{f'(x)/(2\sqrt{1+f(x)})} = \frac{5}{f'(2)/6} = 6 \Rightarrow f'(2)=5$ การที่เส้นตรง $y=6x-4$ เข้ามาเกี่ยวข้องอาจหมายถึงการหาค่าพิกัดตัดกันหรือสมการเส้นสัมผัส แต่สามารถหาค่า $f(2)$ และ $f'(2)$ ได้ครบแล้ว วิเคราะห์ช้อยส์หลอก: ถือเป็น Unclassified Error เนื่องจากคำถามปลายทางไม่สมบูรณ์</t>
  </si>
  <si>
    <t>กำหนดให้ $f: \mathbb{R} \to \mathbb{R}$ เป็นฟังก์ชันที่หาอนุพันธ์ได้ โดยที่ $\lim_{x \to 2559} \frac{xf(x) - 2559f(2559)}{x-2559} = 7677$ ถ้า $f(2559) = \dots$</t>
  </si>
  <si>
    <t>วิธีทำ: (ข้อความโจทย์ตัดทอน) ใช้กฎโลปิตาลเนื่องจากอยู่ในรูปแบบ $0/0$ ดิฟเศษด้วยกฎผลคูณได้ $f(x) + xf'(x)$ แทนค่า $x=2559$ จะได้สมการ $f(2559) + 2559f'(2559) = 7677$ หากโจทย์ให้ค่า $f'(2559)$ มาก็จะสามารถหา $f(2559)$ ได้ทันที วิเคราะห์ช้อยส์หลอก: ขาดข้อมูลคำถามเพื่อวิเคราะห์ความผิดพลาดอย่างชัดเจน</t>
  </si>
  <si>
    <t>จงหาค่าของ $\lim_{x \to 0} \frac{e^x - 1 - x}{x^2}$</t>
  </si>
  <si>
    <t>วิธีทำ: แทนค่าได้ $0/0$ จึงใช้กฎของโลปิตาลครั้งที่ 1 จะได้ $\lim_{x \to 0} \frac{e^x - 1}{2x}$ ซึ่งยังคงเป็น $0/0$ จึงใช้โลปิตาลครั้งที่ 2 จะได้ $\lim_{x \to 0} \frac{e^x}{2}$ แทนค่า $x=0$ จะได้ $\frac{e^0}{2} = \frac{1}{2}$ วิเคราะห์ช้อยส์หลอก: ช้อยส์ที่ผิดเกิดจากการดิฟ $e^x$ ผิด หรือหยุดทำโลปิตาลแค่ครั้งแรกแล้วสรุปคำตอบผิดพลาด</t>
  </si>
  <si>
    <t>จงหาค่าของ $\lim_{x \to \pi/2} \frac{1 - \sin x}{1 + \cos 2x}$</t>
  </si>
  <si>
    <t>วิธีทำ: ใช้เอกลักษณ์ตรีโกณฯ $\cos 2x = 1 - 2\sin^2 x$ ตัวส่วนจะกลายเป็น $2 - 2\sin^2 x = 2(1-\sin x)(1+\sin x)$ ตัดเทอม $(1-\sin x)$ กับตัวเศษ จะเหลือ $\lim_{x \to \pi/2} \frac{1}{2(1+\sin x)}$ แทนค่า $x=\pi/2$ จะได้ $\frac{1}{2(1+1)} = \frac{1}{4}$ วิเคราะห์ช้อยส์หลอก: ช้อยส์อื่นเกิดจากการแปลงเอกลักษณ์ตรีโกณมิติผิด หรือคิดค่า $\sin(\pi/2)$ ผิดพลาด</t>
  </si>
  <si>
    <t>กำหนดให้ $f(x)$ เป็นฟังก์ชันที่หาอนุพันธ์ได้ โดยที่ $f(1) = 2$ และ $f^{\prime}(1) = 3$ จงหาค่าของ $\lim_{x \to 1} \frac{f(x)^2 - 4}{x^2 - 1}$</t>
  </si>
  <si>
    <t>วิธีทำ: เมื่อแทนค่าจะได้ $0/0$ ใช้กฎของโลปิตาล อนุพันธ์ตัวเศษใช้กฎลูกโซ่ได้ $2f(x)f'(x)$ อนุพันธ์ตัวส่วนได้ $2x$ จะได้ลิมิตคือ $\frac{2f(1)f'(1)}{2(1)} = f(1)f'(1) = 2 \times 3 = 6$ วิเคราะห์ช้อยส์หลอก: ช้อยส์ A และ B เกิดจากการลืมคูณ $f'(x)$ ตอนดิฟเศษ (ลืมกฎลูกโซ่) ช้อยส์ D เอา $f(1)$ กับ $f'(1)$ มาบวกกันแทน</t>
  </si>
  <si>
    <t>ให้ $a, b$ เป็นจำนวนจริงที่ไม่เท่ากับศูนย์ และ $f(x) = ax^2 + bx + 1$ ถ้า $f(-1) = 0$ และเรนจ์ของ $f$ คือ $[0, \infty)$ แล้วค่าของ $\int_{-1}^{2} f(x) dx$</t>
  </si>
  <si>
    <t>วิธีทำ: เรนจ์คือ $[0, \infty)$ แสดงว่าเป็นพาราโบลาหงายที่มีจุดยอดแตะแกน $X$ พอดี จาก $f(-1)=0$ แสดงว่าจุดยอดคือ $x=-1$ จะได้สมการในรูป $f(x) = a(x+1)^2 = ax^2+2ax+a$ เทียบสัมประสิทธิ์โจทย์พบว่าค่าคงที่คือ $1$ ดังนั้น $a=1$ จะได้ $f(x) = (x+1)^2$ อินทิเกรต $\int_{-1}^{2} (x+1)^2 dx = [\frac{(x+1)^3}{3}]_{-1}^{2} = \frac{3^3}{3} - 0 = 9$ วิเคราะห์ช้อยส์หลอก: ช้อยส์หลอกเกิดจากการตีความเงื่อนไขเรนจ์ไม่ออก ทำให้ตั้งสมการผิด หรืออินทิเกรตคิดเลขพลาด</t>
  </si>
  <si>
    <t>จงหาค่าของ $\int_{-4}^{2} \frac{x^3 + x^2 + x}{\left| x+2 \right| - x^2 - 2} dx$</t>
  </si>
  <si>
    <t>วิธีทำ: โจทย์อินทิกรัลที่ติดค่าสัมบูรณ์ต้องแยกช่วงพิจารณาที่จุดวิกฤต ซึ่งคือ $x=-2$ โดยต้องแบ่งเป็น $\int_{-4}^{-2}$ (ถอดค่าสัมบูรณ์ติดลบ) และ $\int_{-2}^{2}$ (ถอดค่าสัมบูรณ์เป็นบวก) จากนั้นหาค่าทีละช่วงแล้วนำมาบวกกัน วิเคราะห์ช้อยส์หลอก: ช้อยส์ที่ผิดเกิดจากการมองข้ามค่าสัมบูรณ์แล้วอินทิเกรตรวดเดียว หรือถอดเครื่องหมายสัมบูรณ์ผิดช่วง</t>
  </si>
  <si>
    <t>กำหนด $f(x) = 2x + 5$ และ $g(x) = ax^2 + bx + c$ ถ้า $(f^{-1} \circ g)(0) = 2$, $\int_{0}^{1} (f^{-1} \circ g)(x) dx = 1$ และ $(f^{-1} \circ g)^{\prime}(1) = \dots$</t>
  </si>
  <si>
    <t>วิธีทำ: (ข้อความโจทย์ตัดทอน) หา $f^{-1}(x) = \frac{x-5}{2}$ จะได้ฟังก์ชันประกอบ $h(x) = \frac{ax^2+bx+c-5}{2}$ จาก $h(0)=2$ ทำให้หาค่า $c=9$ ได้ เงื่อนไขอินทิกรัลจะสร้างสมการ $\frac{a}{6}+\frac{b}{4}=-1$ และเงื่อนไขอนุพันธ์ที่หายไปจะช่วยหาค่า $a, b$ ที่เหลือจนนำไปสู่คำตอบได้ วิเคราะห์ช้อยส์หลอก: ไม่สามารถวิเคราะห์ได้ชัดเจนเนื่องจากโจทย์ไม่สมบูรณ์</t>
  </si>
  <si>
    <t>กำหนดให้ $f(x) = ax^2 + bx + c$ ถ้า $f(-1) + f(1) = 14$, $f(0) = 2$ และ $\int_{0}^{1} f(x) dx = 2$ แล้วค่าของ $\int_{0}^{1} f(3x) dx$ เท่ากับข้อใด</t>
  </si>
  <si>
    <t>วิธีทำ: (หมายเหตุ: คำตอบทางคณิตศาสตร์คือ $12$ ซึ่งตรงกับช้อยส์ E แต่เฉลยระบุ D=$11$) จาก $f(0)=2 \Rightarrow c=2$ จาก $f(-1)+f(1)=14 \Rightarrow a=5$ จากอินทิกรัลได้ $b=-10/3$ จะได้ $f(x)=5x^2-\frac{10}{3}x+2$ หา $f(3x) = 45x^2-10x+2$ เมื่อนำไปอินทิเกรตจำกัดเขตจาก $0$ ถึง $1$ จะได้ผลลัพธ์เป็น $12$ วิเคราะห์ช้อยส์หลอก: ช้อยส์ A, B, C เกิดจากการแก้ระบบสมการหา $a,b,c$ ผิด ช้อยส์ D (เฉลย) คาดว่าเป็นการคำนวณเลขเศษส่วนผิดพลาดของผู้ออกข้อสอบ</t>
  </si>
  <si>
    <t>กำหนดให้ $f(x) = ax^3 + bx^2 + 1$ ถ้า $\lim_{x \to 2} \frac{f(x) - f(2)}{x - 2} = 0$ และ $\int_{0}^{1} f(x) dx = \frac{1}{4}$ แล้วค่าของ $\dots$</t>
  </si>
  <si>
    <t>วิธีทำ: ลิมิตที่ให้มาคือนิยามของอนุพันธ์ $f'(2) = 0$ ซึ่งทำให้ได้สมการ $12a+4b=0 \Rightarrow b=-3a$ นำไปแทนในเงื่อนไขอินทิกรัล $\frac{a}{4}+\frac{b}{3}+1 = \frac{1}{4}$ แก้สมการได้ $a=1, b=-3$ ดังนั้น $f(x) = x^3-3x^2+1$ (ส่วนคำถามถูกตัดทอน แต่ใช้ฟังก์ชันนี้หาคำตอบต่อได้) วิเคราะห์ช้อยส์หลอก: ถือเป็น Unclassified Error เนื่องจากข้อความคำถามขาดหายไป</t>
  </si>
  <si>
    <t>กำหนดให้ $f$ เป็นฟังก์ชันพหุนาม โดยที่ $f^{\prime}(x) = ax^2 + bx + c$ เมื่อ $a, b, c$ เป็นจำนวนจริง และ $f(0) = 1, f(1) = 2, f^{\prime}(1) = 3$ จงหาค่าของ $f(-1)$</t>
  </si>
  <si>
    <t>วิธีทำ: (โจทย์ซ้ำกับข้อ 17) จาก $f'(1)=3$ จะได้ $a+b=3 \Rightarrow b=3-a$ อินทิเกรตหา $f(x)$ แล้วใช้ $f(0)=1$ ได้ค่าคงที่ $C=1$ แทน $f(1)=2$ แล้วแก้สมการจะได้ $a=3, b=0$ จะได้ $f(x) = x^3+1$ ดังนั้น $f(-1) = (-1)^3+1 = 0$ วิเคราะห์ช้อยส์หลอก: ช้อยส์ที่ผิดเกิดจากการอินทิเกรตผิดสูตร หรือแก้สมการสองตัวแปรหาค่า a, b ผิดพลาด</t>
  </si>
  <si>
    <t>วิธีทำ: ทั้งสองฟังก์ชันเป็นพาราโบลาที่หน้าตาเหมือนกันแค่คว่ำกับหงาย จุดตัดแกน $X$ คือ $x=1, 3$ พื้นที่ $A = \left| \int_{1}^{3} (x^2-4x+3) dx \right| = \left| [\frac{x^3}{3} - 2x^2 + 3x]_{1}^{3} \right| = \frac{4}{3}$ เนื่องจากสมมาตรกัน พื้นที่ $B$ ก็เท่ากับ $4/3$ ด้วย ดังนั้น $A+B = \frac{8}{3}$ วิเคราะห์ช้อยส์หลอก: ช้อยส์ D และ E เกิดจากการอินทิเกรตเลขผิด ช้อยส์ B ($4/3$) คือหาพื้นที่แค่ส่วนเดียวแล้วลืมนำมาบวกกัน</t>
  </si>
  <si>
    <t>จงหาค่าของ $\int_{0}^{3} (x + 1)\sqrt{x + 1} dx$</t>
  </si>
  <si>
    <t>วิธีทำ: รวบเลขชี้กำลังจะได้ $\int_{0}^{3} (x+1)^{3/2} dx$ ใช้วิธีเปลี่ยนตัวแปร $u = x+1, du = dx$ จะได้ $\int_{1}^{4} u^{3/2} du = [\frac{2}{5} u^{5/2}]_{1}^{4} = \frac{2}{5} (4^{5/2} - 1^{5/2}) = \frac{2}{5} (32 - 1) = \frac{62}{5}$ วิเคราะห์ช้อยส์หลอก: ช้อยส์อื่น ๆ ล้วนเกิดจากการคิดเลขเศษส่วนและเลขยกกำลังผิดพลาดในขั้นตอนสุดท้ายของการแทนค่าขอบเขต</t>
  </si>
  <si>
    <t>จงหาค่าของ $\int (3x^2 - 2x + 5) dx$</t>
  </si>
  <si>
    <t>วิธีทำ: (โจทย์ซ้ำกับข้อ 2) ใช้อินทิเกรตพหุนาม (Power Rule) จะได้ $\frac{3x^3}{3} - \frac{2x^2}{2} + 5x + C = x^3 - x^2 + 5x + C$ วิเคราะห์ช้อยส์หลอก: ช้อยส์ B อินทิเกรตผิดสูตร ช้อยส์ C ลืมอินทิเกรตค่าคงที่ ช้อยส์ D และ E ขาดความเข้าใจเรื่องปริพันธ์ไม่จำกัดเขตโดยลืมบวกค่าคงที่ $C$</t>
  </si>
  <si>
    <t>กำหนดให้ $f^{\prime\prime}(x) = 12x$ จงหา $f(x)$ เมื่อ $f^{\prime}(0) = 1$ และ $f(0) = 2$</t>
  </si>
  <si>
    <t>วิธีทำ: อินทิเกรต $f''(x)$ จะได้ $f'(x) = 6x^2 + C_1$ จาก $f'(0) = 1$ จะได้ $C_1 = 1$ ดังนั้น $f'(x) = 6x^2 + 1$ อินทิเกรตอีกครั้งจะได้ $f(x) = 2x^3 + x + C_2$ จาก $f(0) = 2$ จะได้ $C_2 = 2$ ดังนั้น $f(x) = 2x^3 + x + 2$ วิเคราะห์ช้อยส์หลอก: ช้อยส์ที่ผิดเกิดจากการลืมบวกค่าคงที่ $C$ ในขั้นตอนการอินทิเกรต หรืออินทิเกรตผิดสูตรเช่นนำสัมประสิทธิ์ไปหารเลขชี้กำลังเดิม</t>
  </si>
  <si>
    <t>วิธีทำ: หาจุดตัดโดยตั้ง $x^2 = x \Rightarrow x(x-1) = 0$ ได้ $x = 0, 1$ ในช่วงนี้เส้นตรง $y=x$ อยู่เหนือพาราโบลา ตั้งสมการพื้นที่ $\int_{0}^{1} (x - x^2) dx = [\frac{x^2}{2} - \frac{x^3}{3}]_{0}^{1} = \frac{1}{2} - \frac{1}{3} = \frac{1}{6}$ วิเคราะห์ช้อยส์หลอก: ช้อยส์อื่นๆ เกิดจากการลบเศษส่วนผิดพลาด หรือสลับตำแหน่งเอา $x^2$ ตั้งลบด้วย $x$ แล้วลืมใส่ค่าสัมบูรณ์</t>
  </si>
  <si>
    <t>ถ้า $f(x)$ ต่อเนื่องบน $[a, b]$ และ $\displaystyle \int_a^b f(x) dx = 10$ จงหาค่าของ $\displaystyle \int_a^b 2f(x) dx$</t>
  </si>
  <si>
    <t>วิธีทำ: จากสมบัติของอินทิกรัลจำกัดเขต สามารถดึงค่าคงที่ออกมานอกเครื่องหมายอินทิเกรตได้ $\int_{a}^{b} 2f(x) dx = 2 \int_{a}^{b} f(x) dx = 2(10) = 20$ วิเคราะห์ช้อยส์หลอก: ช้อยส์ที่ผิดเกิดจากความไม่เข้าใจสมบัติของอินทิกรัล เช่นนำไปหารสอง ไม่นำไปคูณ หรือนำค่ายกกำลัง</t>
  </si>
  <si>
    <t>ให้ $f$ เป็นฟังก์ชันหนึ่งต่อหนึ่ง โดย $f^{-1}(x) = \frac{2x}{x+1}$ พิจารณาข้อความ (ก) $2f^{\prime}(4) - f(4) = 3$, (ข) $f^{\prime\prime}(f(4)) = f^{\prime\prime}(f^{\prime}(4))$, (ค) $f$ เป็นฟังก์ชันเพิ่มบนช่วง $(0, 2)$</t>
  </si>
  <si>
    <t>วิธีทำ: หา $f(x)$ โดยสลับตัวแปร จะได้ $f(x) = \frac{x}{2-x}$ หาอนุพันธ์ $f'(x) = \frac{2}{(2-x)^2}$ จะพบว่า $f'(x) &gt; 0$ เสมอเมื่อ $x \ne 2$ ดังนั้น (ค) ถูกต้อง ส่วน $f(4) = -2$ และ $f'(4) = 1/2$ ทำให้ (ก) $2(1/2) - (-2) = 3$ ถูกต้อง สำหรับ (ข) เมื่อคำนวณจะได้ $f''(-2) \ne f''(1/2)$ จึงผิด (หมายเหตุ: ช้อยส์ถูกตัดทอนแต่อิงจากเฉลย A คือข้อที่ระบุว่า ก และ ค ถูก) วิเคราะห์ช้อยส์หลอก: เนื่องจากช้อยส์ปลายทางถูกตัดทอน จึงระบุเป็น Error Code ที่เกี่ยวข้องกับการประเมินข้อความผิด</t>
  </si>
  <si>
    <t>กำหนดให้ $P(x)$ เป็นพหุนามดีกรี $2567$ ที่มีสัมประสิทธิ์เป็นจำนวนจริง ให้ $x_1, \dots, x_k$ เป็นรากจริงที่แตกต่างกันของ $P(x)$ และ $n_i$ คือจำนวนน้อยสุดที่ทำให้ $P^{(n_i)}(x_i) \ne 0$</t>
  </si>
  <si>
    <t>วิธีทำ: (โจทย์ถูกตัดทอนแต่คาดว่าถามถึงผลรวมของ $n_i$) ค่า $n_i$ ในที่นี้คือ Multiplicity หรือจำนวนความซ้ำของราก $x_i$ ตามทฤษฎีบทพีชคณิต พหุนามดีกรี $n$ จะมีผลรวมของความซ้ำของราก (ทั้งจริงและเชิงซ้อน) สูงสุดเท่ากับ $n$ ดังนั้นผลรวมสูงสุดที่เป็นไปได้คือดีกรีของพหุนาม ซึ่งก็คือ $2567$ วิเคราะห์ช้อยส์หลอก: ช้อยส์อื่นเป็นการหลอกด้วยตัวเลขใกล้เคียง หรือขาดความเข้าใจในทฤษฎีบทพื้นฐานของพีชคณิต</t>
  </si>
  <si>
    <t>กำหนดให้ $f(x) = x^3 + 2x - 1$ จงหาค่าของ $(f^{-1})^{\prime}(2)$</t>
  </si>
  <si>
    <t>วิธีทำ: ใช้สูตรอนุพันธ์ฟังก์ชันผกผัน $(f^{-1})'(y) = \frac{1}{f'(x)}$ ขั้นแรกหา $x$ ที่ทำให้ $f(x) = 2 \Rightarrow x^3 + 2x - 1 = 2 \Rightarrow x^3 + 2x - 3 = 0$ จะได้ $x=1$ ถัดมาหา $f'(x) = 3x^2 + 2$ ดังนั้น $f'(1) = 5$ นำไปแทนในสูตรจะได้ $\frac{1}{5}$ วิเคราะห์ช้อยส์หลอก: ช้อยส์ที่ผิดเกิดจากการแก้สมการหาค่า $x$ ผิด หรือลืมส่วนกลับ (ตอบ $5$ ทันที)</t>
  </si>
  <si>
    <t>กำหนดให้ $g(x)$ หาอนุพันธ์ได้ โดยที่ $g(1) = 3$ และ $g^{\prime}(1) = 5$ ถ้า $h(x) = g(x^2)(x^2 + 1)$ จงหาค่าของ $h^{\prime}(1)$</t>
  </si>
  <si>
    <t>วิธีทำ: (หมายเหตุ: คำตอบทางคณิตศาสตร์คือ $26$ ซึ่งตรงกับช้อยส์ E แต่เฉลยในตารางระบุ C=$16$) หาอนุพันธ์ด้วยกฎผลคูณและกฎลูกโซ่ $h'(x) = g'(x^2)(2x)(x^2+1) + g(x^2)(2x)$ แทนค่า $x=1$ จะได้ $h'(1) = g'(1)(2)(2) + g(1)(2) = 5(4) + 3(2) = 26$ วิเคราะห์ช้อยส์หลอก: ช้อยส์ C (เฉลย) และช้อยส์อื่นๆ เกิดจากการลืมคูณอนุพันธ์ไส้ (กฎลูกโซ่) หรือใช้กฎผลคูณผิดพลาดในขั้นตอนใดขั้นตอนหนึ่ง</t>
  </si>
  <si>
    <t>จงหาอนุพันธ์อันดับที่ 2 ของ $f(x) = \ln(2x + 1)$ ที่ $x = 0.5$</t>
  </si>
  <si>
    <t>วิธีทำ: หาอนุพันธ์อันดับหนึ่ง $f'(x) = \frac{1}{2x+1} \cdot 2 = 2(2x+1)^{-1}$ หาอนุพันธ์อันดับสอง $f''(x) = -2(2x+1)^{-2} \cdot 2 = \frac{-4}{(2x+1)^2}$ แทนค่า $x = 0.5$ จะได้ $f''(0.5) = \frac{-4}{(2(0.5)+1)^2} = \frac{-4}{2^2} = -1$ วิเคราะห์ช้อยส์หลอก: ช้อยส์ผิดเกิดจากการลืมดิฟไส้ (กฎลูกโซ่) ในอนุพันธ์อันดับหนึ่งหรือสอง หรือคิดเลขเศษส่วนพลาด</t>
  </si>
  <si>
    <t>วิธีทำ: (โจทย์ซ้ำกับข้อ 4) หาอนุพันธ์ทั้งสองข้างด้วยกฎลูกโซ่ $f'(\sqrt{x}-1) \cdot \frac{1}{2\sqrt{x}} = 1$ เมื่อต้องการหา $f'(1)$ ต้องตั้ง $\sqrt{x}-1 = 1 \Rightarrow x=4$ นำไปแทนค่าได้ $f'(1) \cdot \frac{1}{4} = 1 \Rightarrow f'(1) = 4$ วิเคราะห์ช้อยส์หลอก: ช้อยส์ผิดเกิดจากการแทนค่า $x=1$ ลงไปดื้อๆ หรือประเมินฟังก์ชันประกอบผิด</t>
  </si>
  <si>
    <t>กำหนดให้ $f$ เป็นฟังก์ชัน โดยที่ $f^{\prime}(x) = 2x + 1$ ถ้า $h(x) = f(x^2)$ แล้ว $h^{\prime}(x)$ มีค่าเท่ากับเท่าใด</t>
  </si>
  <si>
    <t>วิธีทำ: หาอนุพันธ์ด้วยกฎลูกโซ่ $h'(x) = f'(x^2) \cdot \frac{d}{dx}(x^2) = f'(x^2) \cdot 2x$ จากที่โจทย์กำหนด $f'(x) = 2x+1$ เมื่อแทน $x$ ด้วย $x^2$ จะได้ $f'(x^2) = 2x^2+1$ นำกลับไปแทนในสมการแรกจะได้ $h'(x) = (2x^2+1)(2x) = 4x^3 + 2x$ วิเคราะห์ช้อยส์หลอก: ช้อยส์ที่ผิดเกิดจากการลืมคูณดิฟไส้ $2x$ หรือสับสนนำ $f'(x)$ ไปยกกำลังสองแทนการแทนค่า</t>
  </si>
  <si>
    <t>กำหนดให้ $f(x) = \left|x^2 - 9\right|$ พิจารณาข้อความ (ก) $f^{\prime}(3)$ หาค่าได้ (ข) $f^{\prime}(-3)$ หาค่าไม่ได้ (ค) $f^{\prime}(0) = 0$ ข้อใดถูกต้อง</t>
  </si>
  <si>
    <t>วิธีทำ: ฟังก์ชันค่าสัมบูรณ์จะมีจุดหักมุม (Cusp) ที่ทำให้ค่าในค่าสัมบูรณ์เป็นศูนย์ ซึ่งคือ $x = 3, -3$ ที่จุดเหล่านี้ฟังก์ชันจะหาอนุพันธ์ไม่ได้ ดังนั้น (ก) ผิด และ (ข) ถูก สำหรับ $x=0$ ค่าในสัมบูรณ์ติดลบ จึงถอดได้ $f(x) = 9-x^2$ ซึ่ง $f'(x) = -2x \Rightarrow f'(0) = 0$ ดังนั้น (ค) ถูกต้อง วิเคราะห์ช้อยส์หลอก: ช้อยส์อื่นเกิดจากความไม่เข้าใจนิยามความต่อเนื่องและการหาอนุพันธ์ของฟังก์ชันค่าสัมบูรณ์</t>
  </si>
  <si>
    <t>กำหนดให้ $f^{\prime}(x) = 2x + 1$ และ $h(x) = f(x^2)$ แล้ว $h^{\prime}(x)$ มีค่าเท่ากับเท่าใด</t>
  </si>
  <si>
    <t>วิธีทำ: (โจทย์ซ้ำกับข้อ 70 ทุกประการ) $h'(x) = f'(x^2) \cdot 2x = (2x^2+1)(2x) = 4x^3 + 2x$ วิเคราะห์ช้อยส์หลอก: ข้อผิดพลาดเกิดจากการลืมดิฟไส้หรือประเมินฟังก์ชันประกอบผิด</t>
  </si>
  <si>
    <t>กำหนดให้ $f(x) = x^3 - 3x^2 + 4$ จงหา $(f^{-1})^{\prime}(4)$</t>
  </si>
  <si>
    <t>วิธีทำ: ใช้สูตร $(f^{-1})'(y) = \frac{1}{f'(x)}$ เริ่มจากหา $x$ ที่ทำให้ $x^3 - 3x^2 + 4 = 4 \Rightarrow x^2(x-3) = 0$ โดยทั่วไปโจทย์อนุพันธ์ผกผันจะพิจารณาช่วงที่ฟังก์ชันเป็น 1-1 ซึ่งราก $x=3$ จะใช้งานได้ ($x=0$ เป็นจุดวิกฤต) หา $f'(x) = 3x^2 - 6x$ แทน $x=3$ จะได้ $f'(3) = 27 - 18 = 9$ นำไปกลับเศษส่วนจะได้ $\frac{1}{9}$ วิเคราะห์ช้อยส์หลอก: ช้อยส์ที่ผิดเกิดจากการตอบ $f'(3)$ ตรงๆ โดยลืมกลับเศษส่วน หรือคิดเลขผิด</t>
  </si>
  <si>
    <t>กำหนดให้ $f(x) = \begin{cases} \frac{x^2-4}{x-2}, &amp; x \ne 2 \\ a, &amp; x = 2 \end{cases}$ และ $g(x) = \begin{cases} \frac{x^2-1}{x-1}, &amp; x \ne 1 \\ b, &amp; x = 1 \end{cases}$ ถ้า $f, g$ ต่อเนื่องทุกจุด แล้ว $f(a+b)$ เท่ากับเท่าใด</t>
  </si>
  <si>
    <t>วิธีทำ: ความต่อเนื่องแปลว่าลิมิตเท่ากับค่าฟังก์ชัน $a = \lim_{x \to 2} \frac{(x-2)(x+2)}{x-2} = 4$ และ $b = \lim_{x \to 1} \frac{(x-1)(x+1)}{x-1} = 2$ ต้องการหา $f(a+b) = f(4+2) = f(6)$ ซึ่ง $6 \ne 2$ จึงใช้เงื่อนไขบน $f(6) = \frac{36-4}{6-2} = \frac{32}{4} = 8$ (หรือแทนในฟังก์ชันที่ตัดทอนแล้ว $x+2 = 6+2 = 8$) วิเคราะห์ช้อยส์หลอก: ช้อยส์อื่นเกิดจากการหาค่าลิมิตผิดพลาด หรือบวกเลข a, b พลาด</t>
  </si>
  <si>
    <t>กำหนดให้ $f(x) = \begin{cases} \frac{\sqrt{x}-2}{x-4}, &amp; x &gt; 4 \\ ax+b, &amp; 0 &lt; x \le 4 \\ x^2+4x, &amp; x \le 0 \end{cases}$ ถ้า $f$ ต่อเนื่องทุกจุด แล้ว $f(a+b)$ เท่ากับเท่าใด</t>
  </si>
  <si>
    <t>วิธีทำ: (หมายเหตุ: มีความเป็นไปได้สูงที่โจทย์ตั้งค่าตัวแปรผิดพลาด) ความต่อเนื่องที่ $x=0$ ทำให้ $b = 0^2+4(0) = 0$ ความต่อเนื่องที่ $x=4$ คือ $\lim_{x \to 4} \frac{1}{\sqrt{x}+2} = \frac{1}{4}$ ทำให้ $4a = 1/4 \Rightarrow a=1/16$ ซึ่งโจทย์ถาม $f(a+b) = f(1/16) = \frac{1}{256}$ แต่เฉลยคือ C ($-4$) คาดว่าโจทย์จริงตั้งใจให้สมการหรือตัวเลขต่างออกไปเพื่อให้ได้ $a, b$ ที่ลงตัวกว่านี้ วิเคราะห์ช้อยส์หลอก: ระบุเป็น Unclassified Error เนื่องจากโจทย์น่าจะมีความคลาดเคลื่อนในตัวเลข</t>
  </si>
  <si>
    <t>กำหนดให้ $f(x) = \begin{cases} \frac{x^2+2x-3}{x-1}, &amp; x &gt; 1 \\ x^2+ax+b, &amp; x \le 1 \end{cases}$ ถ้า $f$ ต่อเนื่องที่ $x=1$ และ $f^{\prime}(0)=4$ แล้ว $a+b$ เท่ากับเท่าใด</t>
  </si>
  <si>
    <t>วิธีทำ: จาก $f'(0)=4$ จะใช้ฟังก์ชันช่วงล่าง ได้ $f'(x) = 2x+a \Rightarrow f'(0) = a = 4$ ความต่อเนื่องที่ $x=1$ ลิมิตขวาคือ $\lim_{x \to 1^+} \frac{(x-1)(x+3)}{x-1} = 4$ ลิมิตซ้ายคือ $1^2 + 4(1) + b = 5+b$ จับเท่ากัน $5+b = 4 \Rightarrow b=-1$ ดังนั้น $a+b = 4 + (-1) = 3$ วิเคราะห์ช้อยส์หลอก: ช้อยส์ที่ผิดเกิดจากการแยกตัวประกอบลิมิตผิด เครื่องหมายผิดตอนแก้สมการ หรือดิฟฟังก์ชันผิด</t>
  </si>
  <si>
    <t>กำหนดให้ $f(x) = \begin{cases} x+\sqrt{x^2+5}, &amp; x \ge a \\ \frac{15}{\sqrt{x^2+5}}, &amp; x &lt; a \end{cases}$ ถ้า $f$ ต่อเนื่องทุกจำนวนจริง แล้ว $a^2+a$ เท่ากับเท่าใด</t>
  </si>
  <si>
    <t>วิธีทำ: ความต่อเนื่องที่ $x=a$ คือ $a+\sqrt{a^2+5} = \frac{15}{\sqrt{a^2+5}}$ คูณไขว้จะได้ $a\sqrt{a^2+5} + a^2 + 5 = 15 \Rightarrow a\sqrt{a^2+5} = 10-a^2$ ยกกำลังสองทั้งสองข้าง $a^2(a^2+5) = 100 - 20a^2 + a^4$ แก้สมการได้ $a^2 = 4 \Rightarrow a=\pm2$ ตรวจคำตอบพบว่ามีเพียง $a=2$ ที่ทำให้สมการก่อนยกกำลังสองเป็นจริง ดังนั้น $a^2+a = 4+2 = 6$ วิเคราะห์ช้อยส์หลอก: ช้อยส์ผิดเกิดจากการไม่ได้ตรวจคำตอบและนำรากแปลกปลอม $a=-2$ ไปคำนวณ หรือแก้สมการยกกำลังสองผิดพลาด</t>
  </si>
  <si>
    <t>กำหนดให้ $f$ เป็นฟังก์ชันที่หาอนุพันธ์ได้ และ $g(x) = (f(x))^2$ ถ้า $f(7)=3$ และ $g^{\prime}(7)=1$ แล้วอนุพันธ์ของ $f(2x^2+4x-9)$ ที่ $x=2$ มีค่าเท่าใด</t>
  </si>
  <si>
    <t>วิธีทำ: (โจทย์ซ้ำกับข้อ 1) กฎลูกโซ่ $g'(x) = 2f(x)f'(x) \Rightarrow 1 = 2(3)f'(7) \Rightarrow f'(7) = 1/6$ จากนั้นให้ $h(x) = f(2x^2+4x-9)$ จะได้ $h'(x) = f'(2x^2+4x-9) \cdot (4x+4)$ แทน $x=2$ จะได้ $h'(2) = f'(7) \cdot 12 = (1/6) \cdot 12 = 2$ วิเคราะห์ช้อยส์หลอก: เกิดจากคิดเลขผิด หรือไม่เข้าใจการประยุกต์กฎลูกโซ่ซ้อนกัน</t>
  </si>
  <si>
    <t>กำหนดให้ $P(x) = (x^{10^0} + x^{10^1} + x^{10^2} + \dots + x^{10^9})^9$ ให้ $A$ เป็นจำนวนหลักของ $P^{\prime}(1)$ และ $B$ เป็นผลบวกเลขโดดของ $P^{\prime}(1)$ จงหา $A+B$</t>
  </si>
  <si>
    <t>วิธีทำ: (หมายเหตุ: คำตอบทางคณิตศาสตร์คือ $108$ แต่เฉลยคือ C=$28$) ให้ $Q(x) = x^{1} + x^{10} + \dots + x^{10^9}$ จะได้ $Q(1) = 10$ หา $Q'(x) = 1 + 10x^9 + \dots$ จะได้ $Q'(1) = 1 + 10 + \dots + 10^9 = 1,111,111,111$ หา $P'(x) = 9(Q(x))^8 \cdot Q'(x)$ แทนค่าได้ $P'(1) = 9(10^8)(1111111111) = 9999999999 \times 10^8$ ซึ่งมีจำนวนหลัก $A=18$ และผลบวกเลขโดด $B=90$ ได้ $A+B=108$ คาดว่าโจทย์มีความผิดพลาดในเลขชี้กำลังหรือตัวเลือกเฉลย วิเคราะห์ช้อยส์หลอก: ช้อยส์ในโจทย์มีค่าต่ำเกินกว่าความเป็นจริงทางคณิตศาสตร์ จึงจัดเป็น Unclassified Error</t>
  </si>
  <si>
    <t>กำหนดให้ $f(x) = x^3 + 2x + 3$ และ $g(x) = f^{-1}(x)$ แล้ว $g^{\prime}(6)$ เท่ากับข้อใด</t>
  </si>
  <si>
    <t>วิธีทำ: หา $x$ ที่ $f(x)=6 \Rightarrow x^3+2x+3=6 \Rightarrow x^3+2x-3=0 \Rightarrow x=1$ จากกฎฟังก์ชันผกผัน $g'(6) = \frac{1}{f'(1)}$ หาอนุพันธ์ $f'(x) = 3x^2+2 \Rightarrow f'(1) = 3(1)+2 = 5$ ดังนั้น $g'(6) = \frac{1}{5}$ วิเคราะห์ช้อยส์หลอก: ช้อยส์ที่ผิดเกิดจากการตอบ $f'(1)$ โดยไม่กลับเศษส่วน หรือแก้สมการพหุนามหาค่า $x$ พลาด</t>
  </si>
  <si>
    <t>กำหนดให้ $f(x) = \begin{cases} (x+1)^2-5, &amp; x &lt; -1 \\ x-1, &amp; -1 \le x \le 1 \\ (x-1)^2-5, &amp; x &gt; 1 \end{cases}$ แล้ว $(f \circ f)^{\prime}(2)$ เท่ากับข้อใด</t>
  </si>
  <si>
    <t>วิธีทำ: (หมายเหตุ: คำตอบทางคณิตศาสตร์คือ $-12$ แต่เฉลยคือ B=$8$) หา $f(2)$ จากกรณีล่างสุด $(2-1)^2-5 = -4$ จากกฎลูกโซ่ $(f \circ f)'(2) = f'(f(2)) \cdot f'(2) = f'(-4) \cdot f'(2)$ หา $f'(2)$ จากอนุพันธ์ล่าง $2(x-1) \Rightarrow 2$ หา $f'(-4)$ จากอนุพันธ์บน $2(x+1) \Rightarrow 2(-3) = -6$ นำมาคูณกันได้ $(-6)(2) = -12$ ตัวเฉลยอาจมาจากความผิดพลาดของการพิมพ์โจทย์ต้นฉบับ วิเคราะห์ช้อยส์หลอก: ช้อยส์ที่ถูกต้องตามคณิตศาสตร์คือ E ($-12$) ช้อยส์อื่นๆ รวมถึงเฉลยเกิดจากการแทนค่าเงื่อนไขผิดช่วงหรือคิดเลขผิด</t>
  </si>
  <si>
    <t>วิธีทำ: $f'(x) = 3x^2 + 2ax + b$ ค่าวิกฤตที่ $x=1, 2$ แปลว่า $f'(x) = 3(x-1)(x-2) = 3x^2 - 9x + 6$ เทียบสัมประสิทธิ์ได้ $2a = -9 \Rightarrow a = -4.5$ และ $b = 6$ จากนั้นนำไปอินทิเกรต $\int_{0}^{1} (x^3 - 4.5x^2 + 6x + c) dx = [\frac{x^4}{4} - 1.5x^3 + 3x^2 + cx]_{0}^{1} = \frac{1}{4} - 1.5 + 3 + c = 1.75 + c$ จับเท่ากับ $0$ จะได้ $c = -1.75$ หรือ $-\frac{7}{4}$</t>
  </si>
  <si>
    <t xml:space="preserve">$-7/4$ </t>
  </si>
  <si>
    <t>วิธีทำ: จากจุดที่ให้มาหา $f(x) = -1.5x^2 + 3.5x + 1$ พื้นที่คือ $\int_{0}^{2} (-1.5x^2 + 2.5x + 1) dx = [-0.5x^3 + 1.25x^2 + x]_{0}^{2} = -4 + 5 + 2 = 3$ วิเคราะห์ช้อยส์หลอก: ช้อยส์ B ($8/3$) เกิดจากการคำนวณเศษส่วนผิดพลาดระหว่างทาง ช้อยส์อื่นๆ ก็เช่นกัน ส่วนช้อยส์ C ถูก</t>
  </si>
  <si>
    <t xml:space="preserve">$51.5$ </t>
  </si>
  <si>
    <t>วิธีทำ: ในช่วง $[0, 3]$ กราฟตกอยู่ใต้แกน X ทั้งหมด พื้นที่คือ $\left| \int_{0}^{3} (x^3-3x^2-10x) dx \right| = \left| [\frac{x^4}{4}-x^3-5x^2]_{0}^{3} \right| = \left| 20.25 - 27 - 45 \right| = \left| -51.75 \right| = 51.75$ วิเคราะห์ช้อยส์หลอก: ช้อยส์อื่นๆคำนวณผิดพลาด</t>
  </si>
  <si>
    <t>วิธีทำ: จัดรูป $g(x) = \frac{(x-1)(f(x)+2)}{(x+4)(x-1)} = \frac{f(x)+2}{x+4}$ ความต่อเนื่องที่ $x=1$ คือ $\lim_{x\to1} g(x) = \frac{f(1)+2}{5} = g(1) = 2 \Rightarrow f(1)=8$ ความต่อเนื่องที่ $x=-4$ ลิมิตต้องหาค่าได้ ดังนั้น $f(-4)+2=0 \Rightarrow f(-4)=-2$ ผลรวมคือ $6$ วิเคราะห์ช้อยส์หลอก: เฉลย B ($6$) ช้อยอื่นๆเกิดจากการคำนวณหาได้แค่ $f(1)$ แล้วนำมาตอบเลยโดยละเลยค่า $f(-4)$</t>
  </si>
  <si>
    <t>กำหนดให้ $f^{\prime\prime}(x) = 12x^2 + 6x - 4$ โดย $f^{\prime}(1) = 5$ และ $f(0) = 1$ จงหาค่าของ $f(1)$</t>
  </si>
  <si>
    <t>วิธีทำ: อินทิเกรต $f''(x)$ จะได้ $f'(x) = 4x^3 + 3x^2 - 4x + C_1$ แทนค่า $f'(1)=5$ จะได้ $4+3-4+C_1=5 \Rightarrow 3+C_1=5 \Rightarrow C_1=2$ ดังนั้น $f'(x) = 4x^3 + 3x^2 - 4x + 2$ อินทิเกรตอีกครั้งจะได้ $f(x) = x^4 + x^3 - 2x^2 + 2x + C_2$ แทนค่า $f(0)=1$ จะได้ $C_2=1$ ดังนั้นสมการคือ $f(x) = x^4 + x^3 - 2x^2 + 2x + 1$ เมื่อหาค่า $f(1)$ จะได้ $1+1-2+2+1 = 3$ *(หมายเหตุ: ตามหลักคณิตศาสตร์คำตอบคือ $3$ (ช้อยส์ C) แต่เฉลยระบุ D ($4$) คาดว่าผู้ออกข้อสอบอาจบวกเลขผิดในขั้นตอนย้ายข้างหา $C_1$ เป็น $3+C_1=5 \Rightarrow C_1=3$)* วิเคราะห์ช้อยส์หลอก: ช้อยส์ที่ผิดเกิดจากการอินทิเกรตผิดสูตร การลืมบวกค่าคงที่ $C$ หรือความผิดพลาดทางคณิตศาสตร์ของผู้ออกข้อสอบเอง</t>
  </si>
  <si>
    <t>Grand Total</t>
  </si>
  <si>
    <t>Count of main_topic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</si>
</sst>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  <scheme val="minor"/>
    </font>
    <font>
      <sz val="10"/>
      <color rgb="FF000000"/>
      <name val="&quot;Segoe WPC&quot;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sz val="10"/>
      <color rgb="FF1F1F1F"/>
      <name val="Google Sans Text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sz val="10"/>
      <color rgb="FF1F1F1F"/>
      <name val="Google Sans Text"/>
      <charset val="222"/>
    </font>
    <font>
      <sz val="10"/>
      <color theme="1"/>
      <name val="Arial"/>
      <family val="2"/>
      <charset val="222"/>
    </font>
    <font>
      <sz val="10"/>
      <color rgb="FF000000"/>
      <name val="Arial"/>
      <family val="2"/>
      <charset val="222"/>
      <scheme val="minor"/>
    </font>
    <font>
      <sz val="10"/>
      <color rgb="FF1F1F1F"/>
      <name val="&quot;Google Sans Text&quot;"/>
      <charset val="222"/>
    </font>
    <font>
      <sz val="10"/>
      <color theme="1"/>
      <name val="Arial"/>
      <family val="2"/>
      <scheme val="minor"/>
    </font>
    <font>
      <sz val="10"/>
      <color theme="1"/>
      <name val="&quot;Google Sans Text&quot;"/>
    </font>
    <font>
      <sz val="20"/>
      <color rgb="FF000000"/>
      <name val="Arial"/>
      <family val="2"/>
      <scheme val="minor"/>
    </font>
    <font>
      <sz val="11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93C47D"/>
        <bgColor rgb="FF93C47D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81838E"/>
      </left>
      <right style="thin">
        <color rgb="FF81838E"/>
      </right>
      <top style="thin">
        <color rgb="FF81838E"/>
      </top>
      <bottom/>
      <diagonal/>
    </border>
  </borders>
  <cellStyleXfs count="2">
    <xf numFmtId="0" fontId="0" fillId="0" borderId="0"/>
    <xf numFmtId="0" fontId="14" fillId="0" borderId="0"/>
  </cellStyleXfs>
  <cellXfs count="24">
    <xf numFmtId="0" fontId="0" fillId="0" borderId="0" xfId="0"/>
    <xf numFmtId="0" fontId="0" fillId="4" borderId="0" xfId="0" applyFill="1"/>
    <xf numFmtId="0" fontId="1" fillId="2" borderId="1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0" applyFont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1" fillId="6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3" fillId="0" borderId="0" xfId="0" applyFont="1"/>
    <xf numFmtId="0" fontId="6" fillId="0" borderId="0" xfId="0" applyFont="1"/>
    <xf numFmtId="0" fontId="0" fillId="7" borderId="0" xfId="0" applyFill="1"/>
    <xf numFmtId="0" fontId="0" fillId="0" borderId="0" xfId="0" pivotButton="1"/>
    <xf numFmtId="0" fontId="0" fillId="0" borderId="0" xfId="0" applyNumberFormat="1"/>
  </cellXfs>
  <cellStyles count="2">
    <cellStyle name="Normal" xfId="0" builtinId="0"/>
    <cellStyle name="Normal 2" xfId="1" xr:uid="{B6720EA0-72F2-41AA-A5C4-5AB931687F63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dows 11" refreshedDate="46152.99618425926" createdVersion="8" refreshedVersion="8" minRefreshableVersion="3" recordCount="80" xr:uid="{44B73BB5-A8AA-4D7C-8D8F-C0FE529A0515}">
  <cacheSource type="worksheet">
    <worksheetSource ref="A1:T81" sheet="Question"/>
  </cacheSource>
  <cacheFields count="20">
    <cacheField name="question_id" numFmtId="0">
      <sharedItems containsSemiMixedTypes="0" containsString="0" containsNumber="1" containsInteger="1" minValue="1" maxValue="80"/>
    </cacheField>
    <cacheField name="question_text" numFmtId="0">
      <sharedItems/>
    </cacheField>
    <cacheField name="correct_answer" numFmtId="0">
      <sharedItems/>
    </cacheField>
    <cacheField name="choice_a" numFmtId="0">
      <sharedItems containsMixedTypes="1" containsNumber="1" containsInteger="1" minValue="-1" maxValue="24"/>
    </cacheField>
    <cacheField name="choice_b" numFmtId="0">
      <sharedItems containsMixedTypes="1" containsNumber="1" minValue="0" maxValue="32"/>
    </cacheField>
    <cacheField name="choice_c" numFmtId="0">
      <sharedItems containsMixedTypes="1" containsNumber="1" containsInteger="1" minValue="1" maxValue="36"/>
    </cacheField>
    <cacheField name="choice_d" numFmtId="0">
      <sharedItems containsMixedTypes="1" containsNumber="1" containsInteger="1" minValue="2" maxValue="48"/>
    </cacheField>
    <cacheField name="choice_e" numFmtId="0">
      <sharedItems containsMixedTypes="1" containsNumber="1" containsInteger="1" minValue="3" maxValue="54"/>
    </cacheField>
    <cacheField name="step_by_step_analysis" numFmtId="0">
      <sharedItems longText="1"/>
    </cacheField>
    <cacheField name="main_topic" numFmtId="0">
      <sharedItems count="4">
        <s v="derivatives"/>
        <s v="integrals"/>
        <s v="limits_and_continuity"/>
        <s v="applications"/>
      </sharedItems>
    </cacheField>
    <cacheField name="sub_topic" numFmtId="0">
      <sharedItems count="15">
        <s v="advanced_derivative_rules"/>
        <s v="indefinite_integrals"/>
        <s v="limits_at_infinity"/>
        <s v="area_and_volume"/>
        <s v="evaluating_limits"/>
        <s v="kinematics"/>
        <s v="continuity"/>
        <s v="curve_sketching_analysis"/>
        <s v="definite_integrals"/>
        <s v="definition_of_derivative"/>
        <s v="inverse_functions"/>
        <s v="applications"/>
        <s v="product_rule"/>
        <s v="second_derivative"/>
        <s v="chain_rule"/>
      </sharedItems>
    </cacheField>
    <cacheField name="skill_tags" numFmtId="0">
      <sharedItems count="24">
        <s v="chain_rule"/>
        <s v="power_rule_integration"/>
        <s v="factoring_and_canceling"/>
        <s v="setting_up_area_integral"/>
        <s v="algebraic_manipulation"/>
        <s v="indefinite_integrals"/>
        <s v="first_derivative_test"/>
        <s v="definite_integrals"/>
        <s v="ftc_evaluation"/>
        <s v="evaluating_functions"/>
        <s v="conjugate_method"/>
        <s v="factoring_polynomials"/>
        <s v="lhopitals_rule"/>
        <s v="special_trig_limits"/>
        <s v="evaluating_limits"/>
        <s v="trig_identities"/>
        <s v="integration_techniques"/>
        <s v="composite_functions"/>
        <s v="u_substitution"/>
        <s v="quotient_rule"/>
        <s v="other_calculus_skill"/>
        <s v="exponential_log_derivatives"/>
        <s v="curve_sketching_analysis"/>
        <s v="definition_of_derivative"/>
      </sharedItems>
    </cacheField>
    <cacheField name="bloom_level" numFmtId="0">
      <sharedItems count="4">
        <s v="Analyzing"/>
        <s v="Applying"/>
        <s v="Creating"/>
        <s v="Understanding"/>
      </sharedItems>
    </cacheField>
    <cacheField name="difficulty" numFmtId="0">
      <sharedItems containsSemiMixedTypes="0" containsString="0" containsNumber="1" minValue="0.2" maxValue="0.9"/>
    </cacheField>
    <cacheField name="discrimination" numFmtId="0">
      <sharedItems containsSemiMixedTypes="0" containsString="0" containsNumber="1" minValue="0.3" maxValue="0.7"/>
    </cacheField>
    <cacheField name="error_code_a" numFmtId="0">
      <sharedItems/>
    </cacheField>
    <cacheField name="error_code_b" numFmtId="0">
      <sharedItems/>
    </cacheField>
    <cacheField name="error_code_c" numFmtId="0">
      <sharedItems/>
    </cacheField>
    <cacheField name="error_code_d" numFmtId="0">
      <sharedItems/>
    </cacheField>
    <cacheField name="error_code_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n v="1"/>
    <s v="กำหนดให้ $f$ เป็นฟังก์ชันที่หาอนุพันธ์ได้ และ $g(x)=(f(x))^2$ ถ้า $f(7)=3$ และ $g^{\prime}(7)=1$ แล้วอนุพันธ์ของ $f(2x^2 + 4x -9)$ ที่ $x =2$ มีค่าเท่าใด"/>
    <s v="b"/>
    <n v="1"/>
    <n v="2"/>
    <n v="3"/>
    <n v="4"/>
    <n v="6"/>
    <s v="วิธีทำ: หาอนุพันธ์โดยใช้กฎลูกโซ่ $g'(x) = 2f(x)f'(x)$ แทนค่า $x=7$ จะได้ $1 = 2(3)f'(7)$ ทำให้ $f'(7) = 1/6$ จากนั้นกำหนด $h(x) = f(2x^2+4x-9)$ จะได้ $h'(x) = f'(2x^2+4x-9) \cdot (4x+4)$ เมื่อแทน $x=2$ จะได้ $h'(2) = f'(7) \cdot 12 = (1/6) \cdot 12 = 2$ วิเคราะห์ช้อยส์หลอก: ช้อยส์ A, D, E เกิดจากคิดเลขผิดหรือสับสนการคูณกลับ ช้อยส์ C พลาดนำค่า $f(7)$ มาใช้แทน $f'(7)$"/>
    <x v="0"/>
    <x v="0"/>
    <x v="0"/>
    <x v="0"/>
    <n v="0.7"/>
    <n v="0.5"/>
    <s v="arithmetic_error"/>
    <s v="correct_answer"/>
    <s v="conceptual_misunderstanding"/>
    <s v="arithmetic_error"/>
    <s v="arithmetic_error"/>
  </r>
  <r>
    <n v="2"/>
    <s v="จงหาค่าของ $\int(3x^2-2x+5)dx$"/>
    <s v="a"/>
    <s v="$x^{3}-x^{2}+5x+C$"/>
    <s v="$3x^{3}-2x^{2}+5x+C$"/>
    <s v="$x^{3}-x^{2}+5+C$"/>
    <s v="$x^{3}-x^{2}+5x$"/>
    <s v="$x^{3}-x^{2}+5x+1$"/>
    <s v="วิธีทำ: ใช้อินทิเกรตพหุนาม (Power Rule) $\int(3x^2-2x+5)dx = \frac{3x^3}{3} - \frac{2x^2}{2} + 5x + C = x^3 - x^2 + 5x + C$ วิเคราะห์ช้อยส์หลอก: ช้อยส์ B อินทิเกรตผิดสูตร (นำเลขชี้กำลังมาคูณแทนการหาร) ช้อยส์ C ลืมอินทิเกรตค่าคงที่ (มอง $5$ เป็นค่าคงที่เดิม) ช้อยส์ D และ E ขาดความเข้าใจเรื่องปริพันธ์ไม่จำกัดเขตโดยลืมบวกค่าคงที่ $C$"/>
    <x v="1"/>
    <x v="1"/>
    <x v="1"/>
    <x v="1"/>
    <n v="0.2"/>
    <n v="0.3"/>
    <s v="correct_answer"/>
    <s v="wrong_integration_formula"/>
    <s v="constant_derivative_error"/>
    <s v="forgot_plus_c"/>
    <s v="forgot_plus_c"/>
  </r>
  <r>
    <n v="3"/>
    <s v="จงหาค่าของ $\lim_{x\rightarrow\infty}\frac{5x^3 - 2x + 1}{2x^3 + 7}$"/>
    <s v="b"/>
    <n v="0"/>
    <s v="$\\frac{5}{2}$"/>
    <n v="1"/>
    <s v="หาค่าไม่ได้"/>
    <n v="5"/>
    <s v="วิธีทำ: หาลิมิตที่อนันต์ เมื่อพิจารณาดีกรีสูงสุดของเศษและส่วนพบว่าเท่ากันคือ $x^3$ จึงสามารถนำสัมประสิทธิ์นำมาหารกันได้เลย คำตอบคือ $5/2$ วิเคราะห์ช้อยส์หลอก: ช้อยส์ A จำสับสนกับกรณีที่ดีกรีส่วนมากกว่าเศษ ช้อยส์ D จำสับสนกับกรณีที่ดีกรีเศษมากกว่าส่วน ช้อยส์ C และ E เกิดจากการดึงตัวร่วมหรือตัดทอนเศษส่วนผิดพลาด"/>
    <x v="2"/>
    <x v="2"/>
    <x v="2"/>
    <x v="1"/>
    <n v="0.4"/>
    <n v="0.4"/>
    <s v="conceptual_misunderstanding"/>
    <s v="correct_answer"/>
    <s v="arithmetic_error"/>
    <s v="conceptual_misunderstanding"/>
    <s v="fraction_operation_error"/>
  </r>
  <r>
    <n v="4"/>
    <s v="กำหนดให้ $f(x)$ เป็นพหุนาม ถ้า $f(\sqrt{x} - 1) = x$ เมื่อ $x &gt; 0$ แล้ว $f^{\prime}(1)$ เท่ากับเท่าใด"/>
    <s v="c"/>
    <n v="1"/>
    <n v="2"/>
    <n v="4"/>
    <n v="5"/>
    <n v="8"/>
    <s v="วิธีทำ: หาอนุพันธ์ทั้งสองข้างด้วยกฎลูกโซ่ $\frac{d}{dx}f(\sqrt{x}-1) = \frac{d}{dx}x$ จะได้ $f'(\sqrt{x}-1) \cdot \frac{1}{2\sqrt{x}} = 1$ ต้องการหา $f'(1)$ จึงให้ $\sqrt{x}-1 = 1$ จะได้ $x=4$ นำไปแทนค่าได้ $f'(1) \cdot \frac{1}{4} = 1$ ส่งผลให้ $f'(1) = 4$ วิเคราะห์ช้อยส์หลอก: ช้อยส์ A เกิดจากการแทนค่า $x=1$ ผิดจุด (ไม่หาค่า $x$ ที่แท้จริงก่อน) ช้อยส์ B ประเมินฟังก์ชันประกอบผิด ช้อยส์ D และ E คือการคำนวณเลขผิด"/>
    <x v="0"/>
    <x v="0"/>
    <x v="0"/>
    <x v="0"/>
    <n v="0.75"/>
    <n v="0.6"/>
    <s v="conceptual_misunderstanding"/>
    <s v="composite_evaluation_error"/>
    <s v="correct_answer"/>
    <s v="arithmetic_error"/>
    <s v="arithmetic_error"/>
  </r>
  <r>
    <n v="5"/>
    <s v="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le x \le 3$"/>
    <s v="d"/>
    <n v="24"/>
    <n v="32"/>
    <n v="36"/>
    <n v="48"/>
    <n v="54"/>
    <s v="วิธีทำ: ให้ $f(x) = a(x-h)^2 - 18$ ความชันเส้นสัมผัสคือ $f'(1)=-4$ และจุดสัมผัสคือ $f(1)=-16$ แก้สมการหาค่าได้ $a=2, h=2$ ดังนั้น $f(x) = 2x^2-8x-10$ พื้นที่ใต้โค้งคือ $\int_{0}^{3} \left| 2x^2-8x-10 \right| dx = 48$ *(หมายเหตุ: ทางคณิตศาสตร์คำตอบคือ D=$48$ แต่ในเฉลยระบุ C=$36$ ซึ่งอาจเป็นข้อผิดพลาดของตัวข้อสอบเอง)* วิเคราะห์ช้อยส์หลอก: ช้อยส์ D คือค่าที่ถูกต้องตามจริง ช้อยส์อื่น ๆ เกิดจากการตั้งอินทิกรัลผิดช่วงหรือคิดเลขผิด"/>
    <x v="3"/>
    <x v="3"/>
    <x v="3"/>
    <x v="2"/>
    <n v="0.85"/>
    <n v="0.65"/>
    <s v="arithmetic_error"/>
    <s v="arithmetic_error"/>
    <s v="conceptual_misunderstanding"/>
    <s v="correct_answer"/>
    <s v="arithmetic_error"/>
  </r>
  <r>
    <n v="6"/>
    <s v="ให้ $a, b, c$ เป็นจำนวนจริง ถ้ากราฟ $f(x)=ax^2+bx+c$ ผ่านจุด $(0, 1), (1, 3), (2, 2)$ แล้วพื้นที่..."/>
    <s v="c"/>
    <s v="$\\frac{5}{2}$ ตารางหน่วย"/>
    <s v="$\\frac{8}{3}$ ตารางหน่วย"/>
    <s v="3 ตารางหน่วย"/>
    <s v="$\\frac{7}{2}$ ตารางหน่วย"/>
    <s v="5 ตารางหน่วย"/>
    <s v="วิธีทำ: (บริบทจากข้อ 10) แทนค่าพิกัดลงในสมการเพื่อหา $a, b, c$ จะได้สมการ $f(x) = -1.5x^2 + 3.5x + 1$ พื้นที่ระหว่างโค้ง $f(x)$ กับเส้นตรง $y=x$ ในช่วง $x=0$ ถึง $x=2$ คือ $\int_{0}^{2} (-1.5x^2+2.5x+1)dx = 3$ วิเคราะห์ช้อยส์หลอก: ช้อยส์ E (ได้ค่า $5$) เกิดจากการอินทิเกรตหาพื้นที่ใต้โค้ง $f(x)$ อย่างเดียวโดยลืมลบด้วยเส้นตรง $y=x$ ช้อยส์อื่นเกิดจากการบวกลบเศษส่วนผิด"/>
    <x v="3"/>
    <x v="3"/>
    <x v="3"/>
    <x v="0"/>
    <n v="0.65"/>
    <n v="0.55000000000000004"/>
    <s v="arithmetic_error"/>
    <s v="arithmetic_error"/>
    <s v="correct_answer"/>
    <s v="arithmetic_error"/>
    <s v="wrong_curve_order_area"/>
  </r>
  <r>
    <n v="7"/>
    <s v="$\lim_{x\rightarrow1^-}\frac{1}{\sqrt{1-x}}(1-\frac{2x^3}{x^2+1})$"/>
    <s v="a"/>
    <n v="0"/>
    <n v="0.5"/>
    <n v="1"/>
    <n v="2"/>
    <n v="4"/>
    <s v="วิธีทำ: จัดรูปพจน์ในวงเล็บได้ $\frac{x^2+1-2x^3}{x^2+1}$ จากนั้นแยกตัวประกอบพหุนามกำลังสามด้านบนจะได้ $(1-x)(2x^2+x+1)$ ทำให้ $\frac{1-x}{\sqrt{1-x}} = \sqrt{1-x}$ เมื่อรวมกับลิมิต $x \to 1^-$ จะได้ $\sqrt{0} \cdot \frac{4}{2} = 0$ วิเคราะห์ช้อยส์หลอก: ช้อยส์ C อาจเกิดจากการตัดทอนผิดแล้วคิดว่าลิมิตเข้าใกล้ $1$ ช้อยส์อื่นๆ เป็นความผิดพลาดทางพีชคณิตระหว่างการแยกตัวประกอบ"/>
    <x v="2"/>
    <x v="4"/>
    <x v="2"/>
    <x v="0"/>
    <n v="0.7"/>
    <n v="0.5"/>
    <s v="correct_answer"/>
    <s v="arithmetic_error"/>
    <s v="conceptual_misunderstanding"/>
    <s v="arithmetic_error"/>
    <s v="arithmetic_error"/>
  </r>
  <r>
    <n v="8"/>
    <s v="กำหนดให้ $f$ เป็นฟังก์ชันพหุนามโดยที่ $f^{\prime}(x)=ax^2+bx+c$ เมื่อ $f(0)=1$, $f(1)=2$, $f^{\prime}(1)=3$..."/>
    <s v="b"/>
    <n v="-1"/>
    <n v="0"/>
    <n v="1"/>
    <n v="2"/>
    <n v="3"/>
    <s v="วิธีทำ: อินทิเกรต $f'(x)$ จะได้ $f(x) = \frac{a}{3}x^3 + \frac{b}{2}x^2 + cx + d$ ใช้ $f(0)=1$ จะได้ $d=1$ จากนั้นนำเงื่อนไขที่เหลือมาสร้างระบบสมการ (โจทย์ขาดข้อมูลเพิ่มเติม แต่แนวคิดหลักคือการสร้างระบบสมการเพื่อหาค่าคงที่) วิเคราะห์ช้อยส์หลอก: ช้อยส์ที่ไม่ใช่ B เกิดจากการตั้งระบบสมการผิดหรือการอินทิเกรตแทนที่จะหาอนุพันธ์"/>
    <x v="1"/>
    <x v="1"/>
    <x v="1"/>
    <x v="0"/>
    <n v="0.6"/>
    <n v="0.45"/>
    <s v="unclassified_error"/>
    <s v="correct_answer"/>
    <s v="unclassified_error"/>
    <s v="unclassified_error"/>
    <s v="unclassified_error"/>
  </r>
  <r>
    <n v="9"/>
    <s v="ในการวางแผนระบบการเดินรถไฟระหว่างสถานี ก และ ข ห่างกัน $S$ เมตร รถไฟเริ่มจากหยุดนิ่ง มีความเร่งสูงสุด $A$ โดยแบ่งเป็น 3 ช่วง:1. ช่วงแรก ($T$ วินาที): ความเร่งเพิ่มสม่ำเสมอจาก $0$ ถึง $A$"/>
    <s v="c"/>
    <s v="$A$"/>
    <s v="$AT$"/>
    <s v="$\\frac{AT}{2}$"/>
    <s v="$AT^2$"/>
    <s v="$\\frac{AT^2}{2}$"/>
    <s v="วิธีทำ: หากความเร่งเพิ่มสม่ำเสมอ $a(t) = \frac{A}{T}t$ ความเร็วเมื่อจบช่วงแรกคือการอินทิเกรตความเร่ง $\int_{0}^{T} \frac{A}{T}t dt = \frac{AT}{2}$ *(หมายเหตุ: เฉลยระบุ B=$AT$ ซึ่งเป็นความเร็วกระณีความเร่งคงที่ $A$ นี่คือความคลาดเคลื่อนเชิงแนวคิดของโจทย์ฟิสิกส์ข้อนี้)* วิเคราะห์ช้อยส์หลอก: ช้อยส์ C ($AT/2$) คือค่าที่ถูกต้องตามโจทย์ ช้อยส์ A หลงลืมการอินทิเกรต ช้อยส์ D, E สับสนกับสูตรระยะทาง"/>
    <x v="3"/>
    <x v="5"/>
    <x v="1"/>
    <x v="0"/>
    <n v="0.8"/>
    <n v="0.6"/>
    <s v="unclassified_error"/>
    <s v="conceptual_misunderstanding"/>
    <s v="correct_answer"/>
    <s v="unclassified_error"/>
    <s v="unclassified_error"/>
  </r>
  <r>
    <n v="10"/>
    <s v="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..."/>
    <s v="c"/>
    <s v="$\\frac{5}{2}$ ตารางหน่วย"/>
    <s v="$\\frac{8}{3}$ ตารางหน่วย"/>
    <s v="$3$ ตารางหน่วย"/>
    <s v="$\\frac{7}{2}$ ตารางหน่วย"/>
    <s v="$5$ ตารางหน่วย"/>
    <s v="วิธีทำ: หา $f(x)$ เหมือนข้อ 6 จะได้ $f(x) = -1.5x^2 + 3.5x + 1$ ตั้งสมการหาพื้นที่ $\int_{0}^{2} (f(x) - x) dx = \int_{0}^{2} (-1.5x^2+2.5x+1)dx$ เมื่อคำนวณจะได้ $[-0.5x^3 + 1.25x^2 + x]_{0}^{2} = -4 + 5 + 2 = 3$ วิเคราะห์ช้อยส์หลอก: ช้อยส์ E เกิดจากการคำนวณ $\int_{0}^{2} f(x) dx = 5$ โดยลืมลบพื้นที่ของกราฟเส้นตรง $y=x$ ช้อยส์อื่น ๆ เกิดจากการบวกลบเศษส่วนผิดพลาด"/>
    <x v="3"/>
    <x v="3"/>
    <x v="3"/>
    <x v="1"/>
    <n v="0.5"/>
    <n v="0.4"/>
    <s v="arithmetic_error"/>
    <s v="arithmetic_error"/>
    <s v="correct_answer"/>
    <s v="arithmetic_error"/>
    <s v="wrong_curve_order_area"/>
  </r>
  <r>
    <n v="11"/>
    <s v="กำหนดให้ $f(x)$ เป็นพหุนามดีกรีสาม ซึ่ง $f(0) = 1, f(1) = 2$ และ $f^{\prime}(0) = 1, f^{\prime}(1) = 0$ จงหาพื้นที่ที่ปิดล้อมด้วยเส้นโค้ง $y = f(x)$ และเส้นตรง $y = 1$ บนช่วง $[0, 1]$"/>
    <s v="c"/>
    <s v="$1/4$"/>
    <s v="$1/3$"/>
    <s v="$7/12$"/>
    <s v="$2/3$"/>
    <s v="$17/12$"/>
    <s v="วิธีทำ: สมมติ $f(x) = ax^3 + bx^2 + cx + d$ จาก $f(0)=1$ จะได้ $d=1$ และ $f'(x) = 3ax^2 + 2bx + c$ จาก $f'(0)=1$ จะได้ $c=1$ นำเงื่อนไขที่เหลือมาแทนค่า: $f(1)=a+b+2=2 \Rightarrow a=-b$ และ $f'(1)=3a+2b+1=0$ แก้สมการได้ $a=-1, b=1$ ดังนั้น $f(x) = -x^3 + x^2 + x + 1$ หาพื้นที่ $\int_{0}^{1} (f(x) - 1) dx = \int_{0}^{1} (-x^3 + x^2 + x) dx = [-\frac{x^4}{4} + \frac{x^3}{3} + \frac{x^2}{2}]_{0}^{1} = -\frac{1}{4} + \frac{1}{3} + \frac{1}{2} = \frac{7}{12}$ วิเคราะห์ช้อยส์หลอก: ช้อยส์ C คือคำตอบที่ถูกต้อง ช้อยส์อื่นๆ เกิดจากการบวกลบเศษส่วนผิด หรือลืมลบพื้นที่ด้วยเส้นตรง $y=1$"/>
    <x v="3"/>
    <x v="3"/>
    <x v="3"/>
    <x v="0"/>
    <n v="0.85"/>
    <n v="0.65"/>
    <s v="arithmetic_error"/>
    <s v="arithmetic_error"/>
    <s v="correct_answer"/>
    <s v="wrong_curve_order_area"/>
    <s v="arithmetic_error"/>
  </r>
  <r>
    <n v="12"/>
    <s v="จงหาพื้นที่ของบริเวณที่ปิดล้อมด้วยเส้นโค้ง $y = x^2 - 2x$ และเส้นตรง $y = x + 4$"/>
    <s v="a"/>
    <s v="$125/6$ "/>
    <s v="$112/6$ "/>
    <s v="$97/6$"/>
    <s v="$125/3$ "/>
    <s v="$13/6$"/>
    <s v="วิธีทำ: หาจุดตัดโดยจับสมการเท่ากัน $x^2 - 2x = x + 4 \Rightarrow x^2 - 3x - 4 = 0$ แยกตัวประกอบได้ $(x-4)(x+1) = 0$ จุดตัดคือ $x = -1, 4$ ตั้งอินทิกรัลหาพื้นที่ $\int_{-1}^{4} ((x + 4) - (x^2 - 2x)) dx = \int_{-1}^{4} (-x^2 + 3x + 4) dx = [-\frac{x^3}{3} + \frac{3x^2}{2} + 4x]_{-1}^{4} = (\frac{56}{3}) - (-\frac{13}{6}) = \frac{112}{6} + \frac{13}{6} = \frac{125}{6}$ วิเคราะห์ช้อยส์หลอก: ช้อยส์ B และ C คิดเลขเศษส่วนผิด ช้อยส์ D ลืมส่วน 2 ในพจน์กำลังสอง ช้อยส์ E เกิดจากการแทนค่าขอบเขตอินทิเกรตผิด"/>
    <x v="3"/>
    <x v="3"/>
    <x v="3"/>
    <x v="1"/>
    <n v="0.55000000000000004"/>
    <n v="0.45"/>
    <s v="correct_answer"/>
    <s v="arithmetic_error"/>
    <s v="arithmetic_error"/>
    <s v="fraction_operation_error"/>
    <s v="wrong_integration_formula"/>
  </r>
  <r>
    <n v="13"/>
    <s v="กำหนดให้ $f: \mathbb{R} \to \mathbb{R}$ โดยที่ $f(1) = 1$ และสำหรับทุก $x \in \mathbb{R}$, $f^{\prime}(x) = \frac{x^4 - 1}{x^2 + 1}$ ค่าของ $f(-2)$ ตรงกับข้อใดต่อไปนี้"/>
    <s v="a"/>
    <s v="$1$ "/>
    <s v="$2$"/>
    <s v="$3$"/>
    <s v="$4$"/>
    <s v="$5$"/>
    <s v="วิธีทำ: จัดรูปสมการอนุพันธ์ $f'(x) = \frac{(x^2-1)(x^2+1)}{x^2+1} = x^2 - 1$ อินทิเกรตเพื่อหา $f(x)$ จะได้ $f(x) = \frac{x^3}{3} - x + C$ หาค่า $C$ จาก $f(1) = 1 \Rightarrow \frac{1}{3} - 1 + C = 1 \Rightarrow C = \frac{5}{3}$ ดังนั้น $f(x) = \frac{x^3}{3} - x + \frac{5}{3}$ หาค่า $f(-2) = \frac{-8}{3} - (-2) + \frac{5}{3} = -\frac{3}{3} + 2 = 1$ วิเคราะห์ช้อยส์หลอก: ช้อยส์อื่นๆ ล้วนเกิดจากการลืมบวกค่าคงที่ $C$ ตอนอินทิเกรต หรือคำนวณเครื่องหมายผิดพลาดตอนแทนค่า $x=-2$"/>
    <x v="1"/>
    <x v="1"/>
    <x v="4"/>
    <x v="1"/>
    <n v="0.6"/>
    <n v="0.5"/>
    <s v="correct_answer"/>
    <s v="forgot_plus_c"/>
    <s v="arithmetic_error"/>
    <s v="arithmetic_error"/>
    <s v="forgot_plus_c"/>
  </r>
  <r>
    <n v="14"/>
    <s v="กำหนดให้ $f$ เป็นฟังก์ชันต่อเนื่องบนเซตของจำนวนจริง โดยที่ $f^{\prime}(x) = \begin{cases} x, &amp; x &lt; 1 \\ x-1, &amp; x &gt; 1 \end{cases}$ ถ้า $f(0) = 0$ แล้ว $f(2)$ เท่ากับข้อใดต่อไปนี้"/>
    <s v="a"/>
    <s v="$1$"/>
    <s v="$1.5$"/>
    <s v="$2$"/>
    <s v="$2.5$"/>
    <s v="$3$"/>
    <s v="วิธีทำ: อินทิเกรตช่วง $x &lt; 1$ ได้ $f(x) = \frac{x^2}{2} + C_1$ จาก $f(0)=0$ ได้ $C_1=0$ ฟังก์ชันต่อเนื่องที่ $x=1$ ดังนั้น $\lim_{x \to 1^-} f(x) = \frac{1}{2}$ อินทิเกรตช่วง $x &gt; 1$ ได้ $f(x) = \frac{x^2}{2} - x + C_2$ จับลิมิตเท่ากัน $\frac{1}{2} - 1 + C_2 = \frac{1}{2} \Rightarrow C_2 = 1$ จะได้สมการฝั่งขวาคือ $f(x) = \frac{x^2}{2} - x + 1$ เมื่อแทน $x=2$ จะได้ $f(2) = \frac{4}{2} - 2 + 1 = 1$ วิเคราะห์ช้อยส์หลอก: ช้อยส์ B ถึง E เกิดจากการละเลยค่าคงที่ $C_2$ หรือไม่เข้าใจหลักการสร้างรอยต่อของฟังก์ชันต่อเนื่อง"/>
    <x v="2"/>
    <x v="6"/>
    <x v="5"/>
    <x v="0"/>
    <n v="0.75"/>
    <n v="0.6"/>
    <s v="correct_answer"/>
    <s v="forgot_plus_c"/>
    <s v="arithmetic_error"/>
    <s v="forgot_plus_c"/>
    <s v="arithmetic_error"/>
  </r>
  <r>
    <n v="15"/>
    <s v="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"/>
    <s v="d"/>
    <s v="$-1$"/>
    <s v="$1$"/>
    <s v="$3$"/>
    <s v="$5$"/>
    <s v="$7$"/>
    <s v="วิธีทำ: จาก $f(0)=3$ จะได้ $c=3$ อนุพันธ์ $f'(x) = -3x^2 + 2ax + b$ ค่าวิกฤตที่ $x=1$ และ $x=-1$ ทำให้ $f'(1) = -3+2a+b=0$ และ $f'(-1) = -3-2a+b=0$ เมื่อแก้ระบบสมการจะได้ $a=0, b=3$ สมการคือ $f(x) = -x^3 + 3x + 3$ หาค่า $f(1) = -(1)^3 + 3(1) + 3 = 5$ วิเคราะห์ช้อยส์หลอก: ช้อยส์ A, B, C, E เกิดจากการแก้ระบบสมการหาค่า a, b ผิดพลาด หรือนำค่าวิกฤตไปแทนใน $f'(x)$ แล้วเข้าใจผิดว่าเป็น $f(x)$"/>
    <x v="3"/>
    <x v="7"/>
    <x v="6"/>
    <x v="0"/>
    <n v="0.7"/>
    <n v="0.55000000000000004"/>
    <s v="algebra_simplification_error"/>
    <s v="arithmetic_error"/>
    <s v="arithmetic_error"/>
    <s v="correct_answer"/>
    <s v="arithmetic_error"/>
  </r>
  <r>
    <n v="16"/>
    <s v="ให้ $f$ เป็นฟังก์ชันซึ่งมีโดเมนและเรนจ์เป็นสับเซตของจำนวนจริง โดยที่ $f^{\prime}(x) = ax^2 + bx$ เมื่อ $a, b$ เป็นจำนวนจริง ถ้า $f(0) = 1, f(1) = 2$ และ $f^{\prime}(1) = 3$ แล้ว $f(-1)$ มีค่าเท่ากับเท่าใด"/>
    <s v="c"/>
    <s v="$-2$ "/>
    <s v="$-1$"/>
    <s v="$0$"/>
    <s v="$1$"/>
    <s v="$2$"/>
    <s v="วิธีทำ: จาก $f'(1)=3$ จะได้ $a+b=3 \Rightarrow b=3-a$ อินทิเกรตจะได้ $f(x) = \frac{a}{3}x^3 + \frac{b}{2}x^2 + C$ จาก $f(0)=1$ ได้ $C=1$ แทน $f(1)=2$ จะได้ $\frac{a}{3} + \frac{b}{2} + 1 = 2 \Rightarrow 2a+3b=6$ แทน $b=3-a$ ลงไปจะได้ $2a+9-3a=6 \Rightarrow a=3, b=0$ จะได้ $f(x) = x^3 + 1$ ดังนั้น $f(-1) = (-1)^3 + 1 = 0$ วิเคราะห์ช้อยส์หลอก: ช้อยส์อื่นๆ เกิดจากการอินทิเกรตผิดสูตร หรือแก้ระบบสมการหาค่า a, b พลาด"/>
    <x v="1"/>
    <x v="1"/>
    <x v="1"/>
    <x v="0"/>
    <n v="0.75"/>
    <n v="0.55000000000000004"/>
    <s v="arithmetic_error"/>
    <s v="algebra_simplification_error"/>
    <s v="correct_answer"/>
    <s v="arithmetic_error"/>
    <s v="arithmetic_error"/>
  </r>
  <r>
    <n v="17"/>
    <s v="ให้ $f(x) = x^3 + ax^2 + bx + c$ มีค่าวิกฤตที่ $x = 1, 2$ และ $\int_{0}^{1} f(x) dx = 0$ แล้ว $c$ มีค่าเท่าใด"/>
    <s v="a"/>
    <s v="$-7/4$ "/>
    <s v="$3/4$ "/>
    <s v=" $5/4$ "/>
    <s v="$1$ "/>
    <s v="$2$"/>
    <s v="วิธีทำ: $f'(x) = 3x^2 + 2ax + b$ ค่าวิกฤตที่ $x=1, 2$ แปลว่า $f'(x) = 3(x-1)(x-2) = 3x^2 - 9x + 6$ เทียบสัมประสิทธิ์ได้ $2a = -9 \Rightarrow a = -4.5$ และ $b = 6$ จากนั้นนำไปอินทิเกรต $\int_{0}^{1} (x^3 - 4.5x^2 + 6x + c) dx = [\frac{x^4}{4} - 1.5x^3 + 3x^2 + cx]_{0}^{1} = \frac{1}{4} - 1.5 + 3 + c = 1.75 + c$ จับเท่ากับ $0$ จะได้ $c = -1.75$ หรือ $-\frac{7}{4}$"/>
    <x v="3"/>
    <x v="7"/>
    <x v="6"/>
    <x v="2"/>
    <n v="0.85"/>
    <n v="0.7"/>
    <s v="correct_answer"/>
    <s v="arithmetic_error"/>
    <s v="arithmetic_error"/>
    <s v="arithmetic_error"/>
    <s v="arithmetic_error"/>
  </r>
  <r>
    <n v="18"/>
    <s v="จงหาพื้นที่ของบริเวณที่ปิดล้อมด้วยเส้นโค้ง $y = x^2 - 2x$ และแกน X บนช่วง $[0, 3]$"/>
    <s v="c"/>
    <s v="$2/3$ "/>
    <s v=" $2$ "/>
    <s v="$8/3$ "/>
    <s v="$4/3$ "/>
    <s v="$10/3$"/>
    <s v="วิธีทำ: หาจุดตัดแกน x คือ $x^2 - 2x = 0 \Rightarrow x(x-2) = 0$ ได้ $x=0, 2$ ต้องแบ่งช่วงอินทิเกรตเป็น $[0, 2]$ และ $[2, 3]$ พื้นที่ $A = \left| \int_{0}^{2} (x^2-2x) dx \right| + \int_{2}^{3} (x^2-2x) dx$ คำนวณช่วงแรกได้ $\left| [\frac{x^3}{3} - x^2]_{0}^{2} \right| = \left| \frac{8}{3} - 4 \right| = \frac{4}{3}$ คำนวณช่วงหลังได้ $[\frac{x^3}{3} - x^2]_{2}^{3} = (9 - 9) - (\frac{8}{3} - 4) = \frac{4}{3}$ นำมารวมกัน $\frac{4}{3} + \frac{4}{3} = \frac{8}{3}$ วิเคราะห์ช้อยส์หลอก: ช้อยส์ D ($4/3$) คือพื้นที่แค่ซีกใดซีกหนึ่ง ช้อยส์ A ($2/3$) เกิดจากคิดเลขผิด ช้อยส์ B และ E เกิดจากการไม่ยอมแบ่งช่วงอินทิเกรตที่จุดตัดแกน x"/>
    <x v="3"/>
    <x v="3"/>
    <x v="7"/>
    <x v="0"/>
    <n v="0.65"/>
    <n v="0.5"/>
    <s v="arithmetic_error"/>
    <s v="conceptual_misunderstanding"/>
    <s v="correct_answer"/>
    <s v="conceptual_misunderstanding"/>
    <s v="arithmetic_error"/>
  </r>
  <r>
    <n v="19"/>
    <s v="ให้ $f(x)$ ต่อเนื่องบน $[a, b]$ และ $F(x)$ เป็นปฏิยานุพันธ์ของ $f(x)$ ถ้า $F(b) = 10$ และ $\int_{a}^{b} f(x) dx = 6$ แล้ว $F(a)$ มีค่าเท่าใด"/>
    <s v="c"/>
    <s v="$16 $"/>
    <s v="$6$"/>
    <s v="$4$"/>
    <s v="$-4$"/>
    <s v="$10$"/>
    <s v="วิธีทำ: จากทฤษฎีบทหลักมูลของแคลคูลัส (Fundamental Theorem of Calculus) ทราบว่า $\int_{a}^{b} f(x) dx = F(b) - F(a)$ แทนค่าที่โจทย์ให้มาจะได้ $6 = 10 - F(a)$ ดังนั้น $F(a) = 10 - 6 = 4$ วิเคราะห์ช้อยส์หลอก: ช้อยส์ A ($16$) เกิดจากความสับสนเครื่องหมาย (นำไปบวกแทนที่จะลบ) ช้อยส์อื่นๆ เป็นการนำตัวเลขในโจทย์มาตอบดื้อๆ โดยไม่เข้าใจคอนเซ็ปต์ของทฤษฎีบท"/>
    <x v="1"/>
    <x v="8"/>
    <x v="8"/>
    <x v="3"/>
    <n v="0.3"/>
    <n v="0.35"/>
    <s v="sign_error"/>
    <s v="conceptual_misunderstanding"/>
    <s v="correct_answer"/>
    <s v="arithmetic_error"/>
    <s v="conceptual_misunderstanding"/>
  </r>
  <r>
    <n v="20"/>
    <s v="$f(x)$ พหุนามดีกรีสาม มีค่าวิกฤตที่ $x = 4, -4$ โดย $f(0)=10, f(3)=9$ จงหา $a$ เมื่อ $f(x) = \frac{x^3}{3} + \frac{ax^2}{2} + 10$ สำหรับ $x &lt; 1$"/>
    <s v="c"/>
    <s v="$4$"/>
    <s v="$0$"/>
    <s v="$-4$"/>
    <s v="$-8$"/>
    <s v="$-16$"/>
    <s v="วิธีทำ: หาอนุพันธ์ของสมการที่ให้มาจะได้ $f'(x) = x^2 + ax$ หากฟังก์ชันมีค่าวิกฤตที่ $x=4$ และ $x=-4$ แสดงว่า $f'(x)$ ต้องอยู่ในรูป $k(x-4)(x+4) = k(x^2-16)$ ซึ่งไม่มีพจน์ของ $x$ ดีกรีหนึ่งอยู่เลย ดังนั้นสัมประสิทธิ์หน้า $x$ (นั่นคือค่า $a$) จึงต้องมีค่าเท่ากับ $0$ วิเคราะห์ช้อยส์หลอก: ช้อยส์อื่นๆ เกิดจากการพยายามนำค่า $x=4, -4$ ไปแทนใน $f(x)$ โดยตรง หรือแก้สมการผิดพลาด"/>
    <x v="0"/>
    <x v="7"/>
    <x v="6"/>
    <x v="0"/>
    <n v="0.8"/>
    <n v="0.6"/>
    <s v="conceptual_misunderstanding"/>
    <s v="arithmetic_error"/>
    <s v="correct_answer"/>
    <s v="arithmetic_error"/>
    <s v="arithmetic_error"/>
  </r>
  <r>
    <n v="21"/>
    <s v="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"/>
    <s v="e"/>
    <s v=" $y = x^2 - 9$ "/>
    <s v="$y = 2x^2 - 9$"/>
    <s v="$y = 4x^2 - 9$ "/>
    <s v="$y = 8x^2 - 9$ "/>
    <s v="$y = 16x^2 - 9$"/>
    <s v="วิธีทำ: สมมติสมการพาราโบลา $y = ax^2 - 9$ จุดตัดแกน x คือ $x = \pm \frac{3}{\sqrt{a}}$ พื้นที่ปิดล้อมคือ $\int_{-\frac{3}{\sqrt{a}}}^{\frac{3}{\sqrt{a}}} (0 - (ax^2-9)) dx = 2[-\frac{ax^3}{3} + 9x]_{0}^{\frac{3}{\sqrt{a}}} = \frac{36}{\sqrt{a}}$ จับเท่ากับพื้นที่ $9$ ตารางหน่วย จะได้ $\frac{36}{\sqrt{a}} = 9 \Rightarrow \sqrt{a}=4 \Rightarrow a=16$ สมการคือ $y = 16x^2 - 9$ วิเคราะห์ช้อยส์หลอก: ช้อยส์ A-D ใช้ค่า $a$ ผิดพลาดจากการลืมคูณ $2$ หรืออินทิเกรตผิดสูตร"/>
    <x v="3"/>
    <x v="3"/>
    <x v="3"/>
    <x v="2"/>
    <n v="0.85"/>
    <n v="0.65"/>
    <s v="arithmetic_error"/>
    <s v="arithmetic_error"/>
    <s v="arithmetic_error"/>
    <s v="arithmetic_error"/>
    <s v="correct_answer"/>
  </r>
  <r>
    <n v="22"/>
    <s v="กำหนดให้ $f^{\prime\prime}(x) = 12x^2 + 6x - 4$ โดย $f^{\prime}(1) = 5$ และ $f(0) = 1$ จงหาค่าของ $f(1)$"/>
    <s v="d"/>
    <s v="$1$"/>
    <s v="$2$"/>
    <s v="$3$"/>
    <s v="$4$"/>
    <s v="$5$"/>
    <s v="วิธีทำ: อินทิเกรต $f''(x)$ จะได้ $f'(x) = 4x^3 + 3x^2 - 4x + C_1$ แทนค่า $f'(1)=5$ จะได้ $4+3-4+C_1=5 \Rightarrow 3+C_1=5 \Rightarrow C_1=2$ ดังนั้น $f'(x) = 4x^3 + 3x^2 - 4x + 2$ อินทิเกรตอีกครั้งจะได้ $f(x) = x^4 + x^3 - 2x^2 + 2x + C_2$ แทนค่า $f(0)=1$ จะได้ $C_2=1$ ดังนั้นสมการคือ $f(x) = x^4 + x^3 - 2x^2 + 2x + 1$ เมื่อหาค่า $f(1)$ จะได้ $1+1-2+2+1 = 3$ *(หมายเหตุ: ตามหลักคณิตศาสตร์คำตอบคือ $3$ (ช้อยส์ C) แต่เฉลยระบุ D ($4$) คาดว่าผู้ออกข้อสอบอาจบวกเลขผิดในขั้นตอนย้ายข้างหา $C_1$ เป็น $3+C_1=5 \Rightarrow C_1=3$)* วิเคราะห์ช้อยส์หลอก: ช้อยส์ที่ผิดเกิดจากการอินทิเกรตผิดสูตร การลืมบวกค่าคงที่ $C$ หรือความผิดพลาดทางคณิตศาสตร์ของผู้ออกข้อสอบเอง"/>
    <x v="1"/>
    <x v="1"/>
    <x v="1"/>
    <x v="1"/>
    <n v="0.6"/>
    <n v="0.5"/>
    <s v="arithmetic_error"/>
    <s v="forgot_plus_c"/>
    <s v="arithmetic_error"/>
    <s v="correct_answer"/>
    <s v="arithmetic_error"/>
  </r>
  <r>
    <n v="23"/>
    <s v="จงหาค่าของ $\int_{0}^{\pi/2} (\sin x + \cos x) dx$"/>
    <s v="c"/>
    <s v="$0$ "/>
    <s v="$1$"/>
    <s v="$2$"/>
    <s v="$\\sqrt{2}$ "/>
    <s v="$\\pi$"/>
    <s v="วิธีทำ: อินทิเกรตฟังก์ชันตรีโกณมิติ $\int (\sin x + \cos x) dx = -\cos x + \sin x$ แทนค่าขอบเขตจาก $0$ ถึง $\pi/2$ จะได้ $(-\cos(\pi/2) + \sin(\pi/2)) - (-\cos(0) + \sin(0)) = (0 + 1) - (-1 + 0) = 2$ วิเคราะห์ช้อยส์หลอก: ช้อยส์ที่ผิดส่วนใหญ่เกิดจากลืมเครื่องหมายลบตอนอินทิเกรต $\sin x$ (Trig Sign Error) หรือจำค่า $\sin, \cos$ สลับกัน"/>
    <x v="1"/>
    <x v="8"/>
    <x v="8"/>
    <x v="1"/>
    <n v="0.5"/>
    <n v="0.45"/>
    <s v="trig_evaluation_error"/>
    <s v="trig_sign_error"/>
    <s v="correct_answer"/>
    <s v="trig_evaluation_error"/>
    <s v="trig_evaluation_error"/>
  </r>
  <r>
    <n v="24"/>
    <s v="ถ้า $f(x)=x^2-1$ บนช่วง $[-2, 3]$ แล้วพื้นที่ใต้เส้นโค้ง $y=\left| f(x) \right|$ ที่อยู่เหนือแกน X มีค่าเท่าใด"/>
    <s v="c"/>
    <s v="$20/3$"/>
    <s v="$22/3$"/>
    <s v="$28/3$"/>
    <s v="$32/3$"/>
    <s v="$34/3$"/>
    <s v="วิธีทำ: ฟังก์ชัน $x^2-1$ มีจุดตัดแกน x ที่ $x=-1, 1$ ต้องแบ่งอินทิเกรต 3 ช่วงคือ $\int_{-2}^{-1} (x^2-1) dx + \int_{-1}^{1} -(x^2-1) dx + \int_{1}^{3} (x^2-1) dx$ เมื่อคำนวณแต่ละช่วงจะได้ $[\frac{x^3}{3}-x]_{-2}^{-1} + [x-\frac{x^3}{3}]_{-1}^{1} + [\frac{x^3}{3}-x]_{1}^{3} = \frac{4}{3} + \frac{4}{3} + \frac{20}{3} = \frac{28}{3}$ วิเคราะห์ช้อยส์หลอก: ช้อยส์อื่นๆ เกิดจากการไม่แบ่งช่วงอินทิเกรตที่จุดตัด หรือลืมกลับเครื่องหมายในช่วงที่กราฟตกใต้แกน X"/>
    <x v="3"/>
    <x v="3"/>
    <x v="3"/>
    <x v="0"/>
    <n v="0.75"/>
    <n v="0.55000000000000004"/>
    <s v="arithmetic_error"/>
    <s v="arithmetic_error"/>
    <s v="correct_answer"/>
    <s v="conceptual_misunderstanding"/>
    <s v="arithmetic_error"/>
  </r>
  <r>
    <n v="25"/>
    <s v="บริเวณปิดล้อมด้วย $y=ax^2+2$, แกน X, $x=0, x=5$ มีพื้นที่ 135 ตร.หน่วย หาความชันที่ $x=2$"/>
    <s v="d"/>
    <s v="$3$"/>
    <s v="$6$"/>
    <s v="$10$"/>
    <s v="$12$"/>
    <s v="$24$"/>
    <s v="วิธีทำ: ตั้งสมการพื้นที่ $\int_{0}^{5} (ax^2+2) dx = 135$ อินทิเกรตได้ $[\frac{ax^3}{3}+2x]_{0}^{5} = \frac{125a}{3} + 10 = 135 \Rightarrow a=3$ จะได้สมการ $f(x) = 3x^2+2$ ความชันคืออนุพันธ์ $f'(x) = 6x$ ที่ $x=2$ ความชัน $= 6(2) = 12$ วิเคราะห์ช้อยส์หลอก: ช้อยส์ที่ผิดเกิดจากการแก้สมการหา $a$ ผิดพลาด หรือนำค่า $x=2$ ไปแทนใน $f(x)$ แทนที่จะหาอนุพันธ์ก่อน"/>
    <x v="3"/>
    <x v="3"/>
    <x v="3"/>
    <x v="0"/>
    <n v="0.8"/>
    <n v="0.6"/>
    <s v="arithmetic_error"/>
    <s v="arithmetic_error"/>
    <s v="conceptual_misunderstanding"/>
    <s v="correct_answer"/>
    <s v="arithmetic_error"/>
  </r>
  <r>
    <n v="26"/>
    <s v="$f(x)=-x^2+k$ พื้นที่ปิดล้อมด้วยกราฟกับแกน X เท่ากับ 36 ตร.หน่วย แล้ว $f(-1)+f(1)$ คือข้อใด"/>
    <s v="b"/>
    <s v="$12$ "/>
    <s v="$14$ "/>
    <s v="$16 $"/>
    <s v=" $18$"/>
    <s v="$36$"/>
    <s v="วิธีทำ: จุดตัดแกน X คือ $x = \pm \sqrt{k}$ พื้นที่ $\int_{-\sqrt{k}}^{\sqrt{k}} (-x^2+k) dx = 2[-\frac{x^3}{3}+kx]_{0}^{\sqrt{k}} = \frac{4}{3}k\sqrt{k} = 36$ แก้สมการได้ $k^{3/2} = 27 \Rightarrow k=9$ จะได้ $f(x) = -x^2+9$ หาค่า $f(-1)+f(1) = 8 + 8 = 16$ วิเคราะห์ช้อยส์หลอก: ช้อยส์ผิดเกิดจากการแก้สมการหา $k$ พลาด (เช่นลืมคูณ 2 พื้นที่ซ้ายขวา) หรือแทนค่าฟังก์ชันผิด"/>
    <x v="3"/>
    <x v="3"/>
    <x v="3"/>
    <x v="1"/>
    <n v="0.7"/>
    <n v="0.55000000000000004"/>
    <s v="arithmetic_error"/>
    <s v="correct_answer"/>
    <s v="arithmetic_error"/>
    <s v="arithmetic_error"/>
    <s v="arithmetic_error"/>
  </r>
  <r>
    <n v="27"/>
    <s v="พื้นที่ปิดล้อมด้วยพาราโบลาจุดยอด $(0, -9)$ และแกน X เท่ากับ 9 ตร.หน่วย จงหาสมการพาราโบลา"/>
    <s v="e"/>
    <s v="$y=x^2-9$ "/>
    <s v="$y=2x^2-9$ "/>
    <s v="$y=4x^2-9$"/>
    <s v="$y=8x^2-9$"/>
    <s v="$y=16x^2-9$"/>
    <s v="วิธีทำ: โจทย์ข้อนี้เป็นโจทย์ซ้ำกับข้อ 22 ทุกประการ กระบวนการคิดเหมือนกันคือตั้งสมการ $\int_{-\frac{3}{\sqrt{a}}}^{\frac{3}{\sqrt{a}}} (0-(ax^2-9))dx = 9$ แก้สมการได้ $a=16$ จะได้ $y=16x^2-9$ วิเคราะห์ช้อยส์หลอก: ช้อยส์หลอกเป็นรูปแบบการแทนค่า $a$ ที่คำนวณผิดพลาดจากการอินทิเกรต"/>
    <x v="3"/>
    <x v="3"/>
    <x v="3"/>
    <x v="2"/>
    <n v="0.85"/>
    <n v="0.65"/>
    <s v="arithmetic_error"/>
    <s v="arithmetic_error"/>
    <s v="arithmetic_error"/>
    <s v="arithmetic_error"/>
    <s v="correct_answer"/>
  </r>
  <r>
    <n v="28"/>
    <s v="ให้ $f(x)=ax^2+bx+c$ ผ่านจุด $(0, 1), (1, 3), (2, 2)$ หาพื้นที่ปิดล้อมด้วย $y=f(x)$ และ $y=x$ จาก $x=0$ ถึง $x=2$"/>
    <s v="c"/>
    <s v="$\\frac{5}{2}$"/>
    <s v="$\\frac{8}{3}$"/>
    <s v="$3$"/>
    <s v="$\\frac{7}{2}$"/>
    <s v="$5$"/>
    <s v="วิธีทำ: จากจุดที่ให้มาหา $f(x) = -1.5x^2 + 3.5x + 1$ พื้นที่คือ $\int_{0}^{2} (-1.5x^2 + 2.5x + 1) dx = [-0.5x^3 + 1.25x^2 + x]_{0}^{2} = -4 + 5 + 2 = 3$ วิเคราะห์ช้อยส์หลอก: ช้อยส์ B ($8/3$) เกิดจากการคำนวณเศษส่วนผิดพลาดระหว่างทาง ช้อยส์อื่นๆ ก็เช่นกัน ส่วนช้อยส์ C ถูก"/>
    <x v="3"/>
    <x v="3"/>
    <x v="3"/>
    <x v="0"/>
    <n v="0.75"/>
    <n v="0.55000000000000004"/>
    <s v="arithmetic_error"/>
    <s v="arithmetic_error"/>
    <s v="correct_answer"/>
    <s v="arithmetic_error"/>
    <s v="arithmetic_error"/>
  </r>
  <r>
    <n v="29"/>
    <s v="หาพื้นที่ที่ปิดล้อมด้วยเส้นโค้ง $y=x^2-1$ และเส้นตรง $y=3$"/>
    <s v="c"/>
    <s v="$8$"/>
    <s v=" $\\frac{16}{3}$"/>
    <s v="$\\frac{32}{3}$"/>
    <s v="$12$"/>
    <s v="$\\frac{20}{3}$"/>
    <s v="วิธีทำ: หาจุดตัดขอบเขต $x^2-1 = 3 \Rightarrow x^2 = 4 \Rightarrow x = \pm 2$ พื้นที่บนลบพื้นที่ล่าง $\int_{-2}^{2} (3 - (x^2-1)) dx = \int_{-2}^{2} (4-x^2) dx = [4x - \frac{x^3}{3}]_{-2}^{2} = (8 - \frac{8}{3}) - (-8 + \frac{8}{3}) = 16 - \frac{16}{3} = \frac{32}{3}$ วิเคราะห์ช้อยส์หลอก: ช้อยส์อื่นเกิดจากการตั้งสมการผิด (เอาโค้งไปลบเส้นตรงแล้วลืมใส่ Absolute) หรืออินทิเกรตผิดช่วง"/>
    <x v="3"/>
    <x v="3"/>
    <x v="3"/>
    <x v="1"/>
    <n v="0.65"/>
    <n v="0.5"/>
    <s v="arithmetic_error"/>
    <s v="wrong_curve_order_area"/>
    <s v="correct_answer"/>
    <s v="arithmetic_error"/>
    <s v="arithmetic_error"/>
  </r>
  <r>
    <n v="30"/>
    <s v="บริเวณที่ปิดล้อมด้วย $y=x^2$ และ $y=x$ มีพื้นที่เท่ากับกี่ตารางหน่วย"/>
    <s v="b"/>
    <s v="$\\frac{1}{3}$"/>
    <s v="$\\frac{1}{6}$ "/>
    <s v="$\\frac{1}{2}$"/>
    <s v=" $\\frac{2}{3}$"/>
    <s v="$\\frac{1}{4}$"/>
    <s v="วิธีทำ: จุดตัดคือ $x^2 = x \Rightarrow x^2-x=0 \Rightarrow x(x-1)=0$ ได้ $x=0, 1$ ในช่วง $[0, 1]$ เส้น $y=x$ อยู่เหนือ $y=x^2$ พื้นที่คือ $\int_{0}^{1} (x-x^2) dx = [\frac{x^2}{2} - \frac{x^3}{3}]_{0}^{1} = \frac{1}{2} - \frac{1}{3} = \frac{1}{6}$ วิเคราะห์ช้อยส์หลอก: ช้อยส์ผิดเกิดจากการลบเศษส่วนผิดพลาด หรือจำสูตรลัดพื้นที่พาราโบลาผิด"/>
    <x v="3"/>
    <x v="3"/>
    <x v="3"/>
    <x v="1"/>
    <n v="0.6"/>
    <n v="0.45"/>
    <s v="arithmetic_error"/>
    <s v="correct_answer"/>
    <s v="arithmetic_error"/>
    <s v="fraction_operation_error"/>
    <s v="arithmetic_error"/>
  </r>
  <r>
    <n v="31"/>
    <s v="จงหาพื้นที่ปิดล้อมด้วย $y=x^3-3x^2-10x$ และแกน X ตั้งแต่ $x=0$ ถึง $x=3$"/>
    <s v="c"/>
    <s v="$24$"/>
    <s v="$36$"/>
    <s v="$51.5$ "/>
    <s v="$60$"/>
    <s v="$12$"/>
    <s v="วิธีทำ: ในช่วง $[0, 3]$ กราฟตกอยู่ใต้แกน X ทั้งหมด พื้นที่คือ $\left| \int_{0}^{3} (x^3-3x^2-10x) dx \right| = \left| [\frac{x^4}{4}-x^3-5x^2]_{0}^{3} \right| = \left| 20.25 - 27 - 45 \right| = \left| -51.75 \right| = 51.75$ วิเคราะห์ช้อยส์หลอก: ช้อยส์อื่นๆคำนวณผิดพลาด"/>
    <x v="3"/>
    <x v="3"/>
    <x v="3"/>
    <x v="0"/>
    <n v="0.7"/>
    <n v="0.6"/>
    <s v="arithmetic_error"/>
    <s v="arithmetic_error"/>
    <s v="correct_answer"/>
    <s v="arithmetic_error"/>
    <s v="arithmetic_error"/>
  </r>
  <r>
    <n v="32"/>
    <s v="$\lim_{x\to1^-}\frac{1}{\sqrt{1-x}}\left(1-\frac{2x^3}{x^2+1}\right)$"/>
    <s v="a"/>
    <s v="$0$"/>
    <s v="$0.5$"/>
    <s v="$1$"/>
    <s v="$2$"/>
    <s v="$4$ "/>
    <s v="วิธีทำ: (ข้อนี้เป็นโจทย์ซ้ำกับข้อ 7) จัดรูปในวงเล็บ $\frac{x^2+1-2x^3}{x^2+1}$ แยกตัวประกอบได้ $\frac{(1-x)(2x^2+x+1)}{x^2+1}$ เมื่อคูณกับตัวหน้า $\frac{1-x}{\sqrt{1-x}}$ จะตัดกันเหลือ $\sqrt{1-x}$ แทนลิมิต $x \to 1$ จะได้ $\sqrt{0}$ คู่อื่นๆ ทำให้ผลลัพธ์เป็น $0$ วิเคราะห์ช้อยส์หลอก: ความผิดพลาดหลักเกิดจากการแยกตัวประกอบพหุนามกำลังสามผิด หรือตัดทอนผิดพลาด"/>
    <x v="2"/>
    <x v="4"/>
    <x v="2"/>
    <x v="0"/>
    <n v="0.8"/>
    <n v="0.65"/>
    <s v="correct_answer"/>
    <s v="arithmetic_error"/>
    <s v="conceptual_misunderstanding"/>
    <s v="arithmetic_error"/>
    <s v="arithmetic_error"/>
  </r>
  <r>
    <n v="33"/>
    <s v="กำหนด $f(x)=\begin{cases}x+5,&amp;x&gt;a\\x+1,&amp;x\le a\end{cases}$ และ $g(x)=x^2$ ... หา $a$"/>
    <s v="b"/>
    <s v="$1$"/>
    <s v="$2$"/>
    <s v="$3$"/>
    <s v="$4$"/>
    <s v="$5$ "/>
    <s v="วิธีทำ: (ข้อความโจทย์ถูกตัดทอน แต่โดยทั่วไปจะเป็นเงื่อนไขความต่อเนื่องของ $f(g(x))$ หรือ $g(f(x))$) หากอ้างอิงจากเฉลย (B=$2$) บริบทที่เป็นไปได้คือการหาจุดที่ฟังก์ชันคอมโพสิตมีความต่อเนื่อง ซึ่งต้องพิจารณาเงื่อนไขรอยต่อที่ $x=a$ วิเคราะห์ช้อยส์หลอก: ไม่สามารถชี้ชัดสาเหตุได้เนื่องจากโจทย์ไม่สมบูรณ์"/>
    <x v="2"/>
    <x v="6"/>
    <x v="9"/>
    <x v="1"/>
    <n v="0.55000000000000004"/>
    <n v="0.45"/>
    <s v="unclassified_error"/>
    <s v="correct_answer"/>
    <s v="unclassified_error"/>
    <s v="unclassified_error"/>
    <s v="unclassified_error"/>
  </r>
  <r>
    <n v="34"/>
    <s v="$\lim_{x\to2^-}\frac{x+1}{x+2}\cdot\frac{x+2}{x-\sqrt[3]{x^2+4}}$"/>
    <s v="d"/>
    <s v="$6$"/>
    <s v="$7$"/>
    <s v="$8$"/>
    <s v="$9$"/>
    <s v="$12$"/>
    <s v="วิธีทำ: (โจทย์ต้นฉบับเลือนรางและตัวเลขขัดแย้งกัน แต่จากเฉลย d=$9$ คาดว่าโจทย์จริงคือ $\lim_{x\to2} \frac{x^3-8}{x-2}$ หรือรูปแบบที่คล้ายกัน) หากประเมินตามตัวเลขที่อ่านได้ การแทนค่าจะทำให้เกิดข้อผิดพลาดทางคณิตศาสตร์ วิเคราะห์ช้อยส์หลอก: ไม่สามารถระบุ Error Code ที่ชัดเจนได้เนื่องจากโจทย์มีความกำกวมสูง"/>
    <x v="2"/>
    <x v="4"/>
    <x v="4"/>
    <x v="1"/>
    <n v="0.6"/>
    <n v="0.5"/>
    <s v="unclassified_error"/>
    <s v="unclassified_error"/>
    <s v="unclassified_error"/>
    <s v="correct_answer"/>
    <s v="unclassified_error"/>
  </r>
  <r>
    <n v="35"/>
    <s v="$\lim_{x\to1}\frac{(\sqrt{x}-1)(3x-2)}{3x^2-x-2}$"/>
    <s v="c"/>
    <s v=" $-\\frac{1}{10}$ "/>
    <s v="$0$"/>
    <s v="$\\frac{1}{10}$"/>
    <s v=" $\\frac{1}{5}$"/>
    <s v="$1$"/>
    <s v="วิธีทำ: แยกตัวประกอบส่วนล่าง $3x^2-x-2 = (3x+2)(x-1)$ จากนั้นใช้คอนจูเกตหรือมอง $x-1 = (\sqrt{x}-1)(\sqrt{x}+1)$ จะตัดทอนเศษ $\sqrt{x}-1$ ได้ เหลือ $\lim_{x\to1} \frac{3x-2}{(3x+2)(\sqrt{x}+1)}$ แทนค่า $x=1$ ได้ $\frac{3(1)-2}{(3(1)+2)(1+1)} = \frac{1}{(5)(2)} = \frac{1}{10}$ วิเคราะห์ช้อยส์หลอก: ช้อยส์ที่ผิดเกิดจากการแยกตัวประกอบพหุนามผิด หรือลืมคูณเทอม $(\sqrt{x}+1)$ ที่เหลืออยู่ในตัวส่วน"/>
    <x v="2"/>
    <x v="4"/>
    <x v="10"/>
    <x v="0"/>
    <n v="0.75"/>
    <n v="0.6"/>
    <s v="arithmetic_error"/>
    <s v="conceptual_misunderstanding"/>
    <s v="correct_answer"/>
    <s v="arithmetic_error"/>
    <s v="arithmetic_error"/>
  </r>
  <r>
    <n v="36"/>
    <s v="ให้ $f,g$ เป็นฟังก์ชันต่อเนื่อง โดย $g(1)=2$ และ $g(x)=\\dfrac{xf(x)+2x-f(x)-2}{x^2+3x-4}$ เมื่อ $x\\ne-4,1$ แล้ว $f(-4)+f(1)$ มีค่าเท่ากับข้อใด"/>
    <s v="b"/>
    <s v="$4$"/>
    <s v="$6$"/>
    <s v="$12$"/>
    <s v=" $16$"/>
    <s v=" $20$"/>
    <s v="วิธีทำ: จัดรูป $g(x) = \frac{(x-1)(f(x)+2)}{(x+4)(x-1)} = \frac{f(x)+2}{x+4}$ ความต่อเนื่องที่ $x=1$ คือ $\lim_{x\to1} g(x) = \frac{f(1)+2}{5} = g(1) = 2 \Rightarrow f(1)=8$ ความต่อเนื่องที่ $x=-4$ ลิมิตต้องหาค่าได้ ดังนั้น $f(-4)+2=0 \Rightarrow f(-4)=-2$ ผลรวมคือ $6$ วิเคราะห์ช้อยส์หลอก: เฉลย B ($6$) ช้อยอื่นๆเกิดจากการคำนวณหาได้แค่ $f(1)$ แล้วนำมาตอบเลยโดยละเลยค่า $f(-4)$"/>
    <x v="2"/>
    <x v="6"/>
    <x v="2"/>
    <x v="0"/>
    <n v="0.75"/>
    <n v="0.55000000000000004"/>
    <s v="arithmetic_error"/>
    <s v="correct_answer"/>
    <s v="arithmetic_error"/>
    <s v="arithmetic_error"/>
    <s v="arithmetic_error"/>
  </r>
  <r>
    <n v="37"/>
    <s v="ค่าของ $\lim_{x\to0}\frac{\sqrt{1+x+x^2}-1}{x}$"/>
    <s v="b"/>
    <s v="$0$"/>
    <s v="$0.5$"/>
    <s v="$1$"/>
    <s v="$2$"/>
    <s v="หาค่าไม่ได้"/>
    <s v="วิธีทำ: คูณด้วยคอนจูเกต $\frac{\sqrt{1+x+x^2}+1}{\sqrt{1+x+x^2}+1}$ จะได้ $\frac{(1+x+x^2)-1}{x(\sqrt{1+x+x^2}+1)} = \frac{x(1+x)}{x(\sqrt{1+x+x^2}+1)}$ ตัด $x$ บนล่างแล้วแทนค่า $x=0$ จะได้ $\frac{1+0}{\sqrt{1+0+0}+1} = \frac{1}{2} = 0.5$ วิเคราะห์ช้อยส์หลอก: ช้อยส์ที่ผิดเกิดจากการคูณคอนจูเกตผิดพลาด ลบตัวเลขผิด หรือเข้าใจผิดว่าลิมิตหาค่าไม่ได้เนื่องจากส่วนเป็นศูนย์"/>
    <x v="2"/>
    <x v="4"/>
    <x v="10"/>
    <x v="1"/>
    <n v="0.65"/>
    <n v="0.55000000000000004"/>
    <s v="arithmetic_error"/>
    <s v="correct_answer"/>
    <s v="arithmetic_error"/>
    <s v="arithmetic_error"/>
    <s v="conceptual_misunderstanding"/>
  </r>
  <r>
    <n v="38"/>
    <s v="จงหาค่าของ $\lim_{x\to1}\frac{x^n-1}{x-1}$"/>
    <s v="c"/>
    <s v="$1$ "/>
    <s v="$0$ "/>
    <s v="$n$"/>
    <s v="$n-1$ "/>
    <s v="$x^n$"/>
    <s v="วิธีทำ: ใช้การแยกตัวประกอบ $x^n-1 = (x-1)(x^{n-1} + x^{n-2} + ... + 1)$ ตัด $x-1$ แล้วแทน $x=1$ จะเหลือการบวก $1$ จำนวน $n$ ตัว ผลลัพธ์คือ $n$ (หรือใช้นิยามอนุพันธ์ของ $f(x)=x^n$ ที่ $x=1$ คือ $nx^{n-1} = n(1) = n$) วิเคราะห์ช้อยส์หลอก: ช้อยส์ A และ B เกิดจากการแทนค่าตรงๆ แล้วตีความ $0/0$ ผิด ช้อยส์ D เป็นการหักลบจำนวนเทอมผิดพลาด"/>
    <x v="2"/>
    <x v="4"/>
    <x v="11"/>
    <x v="1"/>
    <n v="0.6"/>
    <n v="0.5"/>
    <s v="conceptual_misunderstanding"/>
    <s v="conceptual_misunderstanding"/>
    <s v="correct_answer"/>
    <s v="arithmetic_error"/>
    <s v="conceptual_misunderstanding"/>
  </r>
  <r>
    <n v="39"/>
    <s v="จงหาค่าของ $\lim_{x\to-2}\frac{x^3+8}{x+2}$"/>
    <s v="d"/>
    <s v="$0$"/>
    <s v="$4$"/>
    <s v="$8$"/>
    <s v="$12$"/>
    <s v="หาค่าไม่ได้"/>
    <s v="วิธีทำ: ใช้สูตรผลบวกกำลังสาม $x^3+2^3 = (x+2)(x^2-2x+4)$ ตัดเทอม $(x+2)$ บนล่างออก จะเหลือ $\lim_{x\to-2} (x^2-2x+4)$ แทนค่า $x=-2$ จะได้ $(-2)^2 - 2(-2) + 4 = 4 + 4 + 4 = 12$ วิเคราะห์ช้อยส์หลอก: ความผิดพลาดคือจำสูตรกำลังสามสลับเครื่องหมาย (เป็น $+2x$ แทน $-2x$) หรือแทนค่าตัวเลขติดลบผิดพลาด"/>
    <x v="2"/>
    <x v="4"/>
    <x v="11"/>
    <x v="1"/>
    <n v="0.5"/>
    <n v="0.4"/>
    <s v="arithmetic_error"/>
    <s v="sign_error"/>
    <s v="arithmetic_error"/>
    <s v="correct_answer"/>
    <s v="conceptual_misunderstanding"/>
  </r>
  <r>
    <n v="40"/>
    <s v="ถ้า $\lim_{x \to 1} \frac{\sqrt{x^2+ax+b}-2}{x-1} = 1$ แล้ว $a+b$ มีค่าเท่าใด"/>
    <s v="c"/>
    <s v="$3$"/>
    <s v="$5$"/>
    <s v="$7$"/>
    <s v="$9$"/>
    <s v="$11$"/>
    <s v="วิธีทำ: (หมายเหตุ: คำตอบทางคณิตศาสตร์คือ $3$ แต่เฉลยระบุ $7$ คาดว่าเป็นจุดผิดในตัวข้อสอบ) การที่ลิมิตหาค่าได้และตัวส่วนเป็นศูนย์เมื่อ $x \to 1$ แสดงว่าตัวเศษต้องเป็นศูนย์ด้วย จะได้ $\sqrt{1+a+b}-2 = 0 \Rightarrow a+b=3$ หากเช็กด้วยโลปิตาลจะได้ $\lim_{x \to 1} \frac{2x+a}{2\sqrt{x^2+ax+b}} = 1 \Rightarrow \frac{2+a}{4}=1 \Rightarrow a=2$ และ $b=1$ ซึ่งได้ $a+b=3$ ตรงกัน วิเคราะห์ช้อยส์หลอก: ช้อยส์ A ($3$) คือคำตอบที่ถูกต้อง ช้อยส์ C ($7$) ซึ่งเป็นเฉลยอาจเกิดจากการบวกเลขผิดหรือตั้งสมการผิดพลาดในฝั่งคนออกข้อสอบ"/>
    <x v="2"/>
    <x v="4"/>
    <x v="12"/>
    <x v="0"/>
    <n v="0.85"/>
    <n v="0.65"/>
    <s v="correct_answer"/>
    <s v="arithmetic_error"/>
    <s v="conceptual_misunderstanding"/>
    <s v="arithmetic_error"/>
    <s v="arithmetic_error"/>
  </r>
  <r>
    <n v="41"/>
    <s v="ให้ $a, b \in \mathbb{R}$ ถ้า $\lim_{x \to 0} [\frac{3}{x(x+1)} + \frac{7}{x(x-1)} + \frac{a}{x(x^2-1)}] = b$ แล้ว $a+b$ คือข้อใด"/>
    <s v="a"/>
    <s v="$-14$ "/>
    <s v="$-10$"/>
    <s v="$-4$"/>
    <s v="$4$ "/>
    <s v="$10$"/>
    <s v="วิธีทำ: หา ค.ร.น. รวมเศษส่วนจะได้ $\lim_{x \to 0} \frac{3(x-1)+7(x+1)+a}{x(x^2-1)} = \lim_{x \to 0} \frac{10x+4+a}{x(x^2-1)}$ ลิมิตจะหาค่าได้เมื่อเศษเป็นศูนย์ที่ $x=0$ ดังนั้น $4+a=0 \Rightarrow a=-4$ แทนค่ากลับจะได้ $\lim_{x \to 0} \frac{10x}{x(x-1)(x+1)} = \lim_{x \to 0} \frac{10}{x^2-1} = -10 = b$ ดังนั้น $a+b = -4 + (-10) = -14$ วิเคราะห์ช้อยส์หลอก: ช้อยส์หลอกเกิดจากการหา ค.ร.น. ผิดพลาด ลืมกระจายเครื่องหมาย หรือสับสนการหาค่าลิมิตหลังจากตัดตัวแปร $x$"/>
    <x v="2"/>
    <x v="4"/>
    <x v="4"/>
    <x v="0"/>
    <n v="0.8"/>
    <n v="0.6"/>
    <s v="correct_answer"/>
    <s v="arithmetic_error"/>
    <s v="arithmetic_error"/>
    <s v="arithmetic_error"/>
    <s v="arithmetic_error"/>
  </r>
  <r>
    <n v="42"/>
    <s v="ค่าของ $\lim_{x \to 2} \frac{2^x + 2^{2-x} - 5}{2^{-x/2} - 2^{1-x}}$ เท่ากับเท่าใด"/>
    <s v="c"/>
    <s v="$4$ "/>
    <s v="$8$"/>
    <s v="$12$"/>
    <s v="$16$"/>
    <s v="$20$"/>
    <s v="วิธีทำ: ให้ $u = 2^{x/2}$ เมื่อ $x \to 2$ จะได้ $u \to 2$ จัดรูปสมการใหม่จะได้ $\frac{u^2 + 4/u^2 - 5}{1/u - 2/u^2} = \frac{(u^4-5u^2+4)/u^2}{(u-2)/u^2}$ ตัดส่วน $u^2$ ทิ้งและแยกตัวประกอบเศษจะได้ $\frac{(u^2-4)(u^2-1)}{u-2} = \frac{(u-2)(u+2)(u^2-1)}{u-2}$ ตัด $(u-2)$ แล้วแทนค่า $u=2$ จะได้ $(2+2)(2^2-1) = (4)(3) = 12$ วิเคราะห์ช้อยส์หลอก: ช้อยส์ที่ผิดมักเกิดจากการเปลี่ยนตัวแปร $u$ ผิดพลาด หรือแยกตัวประกอบพหุนามผิด"/>
    <x v="2"/>
    <x v="4"/>
    <x v="2"/>
    <x v="0"/>
    <n v="0.85"/>
    <n v="0.7"/>
    <s v="arithmetic_error"/>
    <s v="arithmetic_error"/>
    <s v="correct_answer"/>
    <s v="arithmetic_error"/>
    <s v="arithmetic_error"/>
  </r>
  <r>
    <n v="43"/>
    <s v="จงหาค่าของ $\lim_{x \to \infty} (\sqrt{x^2+1}-x)$"/>
    <s v="a"/>
    <s v="$0$"/>
    <s v="$0.5$ "/>
    <s v="$1$"/>
    <s v="$\\infty$"/>
    <s v="หาค่าไม่ได้"/>
    <s v="วิธีทำ: คูณด้วยคอนจูเกตเพื่อจัดรูป $\lim_{x \to \infty} \frac{(\sqrt{x^2+1}-x)(\sqrt{x^2+1}+x)}{\sqrt{x^2+1}+x} = \lim_{x \to \infty} \frac{x^2+1-x^2}{\sqrt{x^2+1}+x} = \lim_{x \to \infty} \frac{1}{\sqrt{x^2+1}+x}$ เมื่อ $x \to \infty$ ตัวส่วนจะมีค่ามหาศาล ทำให้ผลลัพธ์ของเศษส่วนเข้าใกล้ $0$ วิเคราะห์ช้อยส์หลอก: ช้อยส์ C หรือ D เกิดจากการประเมินลิมิตของ $\infty - \infty$ ผิดพลาด โดยคิดว่าเท่ากับ $1$ หรือ $\infty$"/>
    <x v="2"/>
    <x v="2"/>
    <x v="10"/>
    <x v="1"/>
    <n v="0.7"/>
    <n v="0.55000000000000004"/>
    <s v="correct_answer"/>
    <s v="arithmetic_error"/>
    <s v="indeterminate_form_misconception"/>
    <s v="indeterminate_form_misconception"/>
    <s v="conceptual_misunderstanding"/>
  </r>
  <r>
    <n v="44"/>
    <s v="จงหาค่าของ $\lim_{x \to 0} \frac{\sin 3x}{x}$"/>
    <s v="a"/>
    <s v="$0$ "/>
    <s v="$1$"/>
    <s v="$3$"/>
    <s v="$1/3$"/>
    <s v="หาค่าไม่ได้"/>
    <s v="วิธีทำ: (หมายเหตุ: คำตอบที่ถูกต้องคือ $3$ แต่ในตารางเฉลยระบุข้อ A ซึ่งมีค่าเป็น $0$) จากทฤษฎีบท $\lim_{x \to 0} \frac{\sin kx}{x} = k$ หรือใช้กฎของโลปิตาล $\lim_{x \to 0} \frac{3 \cos 3x}{1} = 3$ คำตอบที่แท้จริงคือ $3$ (ช้อยส์ C) วิเคราะห์ช้อยส์หลอก: ช้อยส์ A (เฉลยตาราง) เป็นการประเมินผิดว่าตัวเศษเป็นศูนย์แล้วตอบศูนย์ทันที ช้อยส์ B ลืมคูณสัมประสิทธิ์มุม ช้อยส์ D สับสนนำสัมประสิทธิ์ไปหาร"/>
    <x v="2"/>
    <x v="4"/>
    <x v="13"/>
    <x v="1"/>
    <n v="0.4"/>
    <n v="0.35"/>
    <s v="conceptual_misunderstanding"/>
    <s v="arithmetic_error"/>
    <s v="correct_answer"/>
    <s v="arithmetic_error"/>
    <s v="conceptual_misunderstanding"/>
  </r>
  <r>
    <n v="45"/>
    <s v="จงหาค่าของ $\lim_{x \to \infty} \frac{5x^3 - 2x + 1}{2x^3 + 7}$"/>
    <s v="b"/>
    <s v="$0$"/>
    <s v="$\\frac{5}{2}$"/>
    <s v="$1$"/>
    <s v="หาค่าไม่ได้"/>
    <s v="$5$"/>
    <s v="วิธีทำ: พิจารณาดีกรีสูงสุดของพหุนามทั้งเศษและส่วน ซึ่งคือ $x^3$ เท่ากัน ดังนั้นลิมิตเมื่อ $x$ เข้าใกล้อนันต์จะเท่ากับอัตราส่วนของสัมประสิทธิ์ตัวนำหน้า นั่นคือ $5/2$ วิเคราะห์ช้อยส์หลอก: ช้อยส์อื่นเกิดจากความสับสนกับกฎการหาลิมิตอนันต์กรณีที่ดีกรีเศษและส่วนไม่เท่ากัน"/>
    <x v="2"/>
    <x v="2"/>
    <x v="14"/>
    <x v="3"/>
    <n v="0.35"/>
    <n v="0.3"/>
    <s v="conceptual_misunderstanding"/>
    <s v="correct_answer"/>
    <s v="arithmetic_error"/>
    <s v="conceptual_misunderstanding"/>
    <s v="arithmetic_error"/>
  </r>
  <r>
    <n v="46"/>
    <s v="กำหนดให้ $f: \mathbb{R} \to \mathbb{R}$ เป็นฟังก์ชันที่หาอนุพันธ์ได้ และ $\lim_{x \to 2} \frac{x^2+x-6}{\sqrt{1+f(x)}-3} = 6$ ถ้าเส้นตรง $6x-y=4$ ตัด..."/>
    <s v="d"/>
    <s v="$5$"/>
    <s v="$6$"/>
    <s v="$8$"/>
    <s v="$10$"/>
    <s v="$30$"/>
    <s v="วิธีทำ: (ข้อความโจทย์ตัดทอน) ตัวเศษเป็นศูนย์เมื่อ $x=2$ ลิมิตจะหาค่าได้ตัวส่วนต้องเป็นศูนย์ด้วย $\sqrt{1+f(2)}-3=0 \Rightarrow f(2)=8$ ใช้โลปิตาลหาอนุพันธ์บนล่าง $\lim_{x \to 2} \frac{2x+1}{f'(x)/(2\sqrt{1+f(x)})} = \frac{5}{f'(2)/6} = 6 \Rightarrow f'(2)=5$ การที่เส้นตรง $y=6x-4$ เข้ามาเกี่ยวข้องอาจหมายถึงการหาค่าพิกัดตัดกันหรือสมการเส้นสัมผัส แต่สามารถหาค่า $f(2)$ และ $f'(2)$ ได้ครบแล้ว วิเคราะห์ช้อยส์หลอก: ถือเป็น Unclassified Error เนื่องจากคำถามปลายทางไม่สมบูรณ์"/>
    <x v="0"/>
    <x v="9"/>
    <x v="12"/>
    <x v="0"/>
    <n v="0.8"/>
    <n v="0.65"/>
    <s v="unclassified_error"/>
    <s v="unclassified_error"/>
    <s v="unclassified_error"/>
    <s v="correct_answer"/>
    <s v="unclassified_error"/>
  </r>
  <r>
    <n v="47"/>
    <s v="กำหนดให้ $f: \mathbb{R} \to \mathbb{R}$ เป็นฟังก์ชันที่หาอนุพันธ์ได้ โดยที่ $\lim_{x \to 2559} \frac{xf(x) - 2559f(2559)}{x-2559} = 7677$ ถ้า $f(2559) = \dots$"/>
    <s v="b"/>
    <s v="$1$"/>
    <s v="$2$"/>
    <s v="$3$"/>
    <s v="$4$"/>
    <s v="$7677$"/>
    <s v="วิธีทำ: (ข้อความโจทย์ตัดทอน) ใช้กฎโลปิตาลเนื่องจากอยู่ในรูปแบบ $0/0$ ดิฟเศษด้วยกฎผลคูณได้ $f(x) + xf'(x)$ แทนค่า $x=2559$ จะได้สมการ $f(2559) + 2559f'(2559) = 7677$ หากโจทย์ให้ค่า $f'(2559)$ มาก็จะสามารถหา $f(2559)$ ได้ทันที วิเคราะห์ช้อยส์หลอก: ขาดข้อมูลคำถามเพื่อวิเคราะห์ความผิดพลาดอย่างชัดเจน"/>
    <x v="0"/>
    <x v="9"/>
    <x v="12"/>
    <x v="0"/>
    <n v="0.75"/>
    <n v="0.6"/>
    <s v="unclassified_error"/>
    <s v="correct_answer"/>
    <s v="unclassified_error"/>
    <s v="unclassified_error"/>
    <s v="unclassified_error"/>
  </r>
  <r>
    <n v="48"/>
    <s v="จงหาค่าของ $\lim_{x \to 0} \frac{e^x - 1 - x}{x^2}$"/>
    <s v="b"/>
    <s v="$0$"/>
    <s v="$\\frac{1}{2}$"/>
    <s v="$1$"/>
    <s v="$e$"/>
    <s v="หาค่าไม่ได้"/>
    <s v="วิธีทำ: แทนค่าได้ $0/0$ จึงใช้กฎของโลปิตาลครั้งที่ 1 จะได้ $\lim_{x \to 0} \frac{e^x - 1}{2x}$ ซึ่งยังคงเป็น $0/0$ จึงใช้โลปิตาลครั้งที่ 2 จะได้ $\lim_{x \to 0} \frac{e^x}{2}$ แทนค่า $x=0$ จะได้ $\frac{e^0}{2} = \frac{1}{2}$ วิเคราะห์ช้อยส์หลอก: ช้อยส์ที่ผิดเกิดจากการดิฟ $e^x$ ผิด หรือหยุดทำโลปิตาลแค่ครั้งแรกแล้วสรุปคำตอบผิดพลาด"/>
    <x v="2"/>
    <x v="4"/>
    <x v="12"/>
    <x v="0"/>
    <n v="0.8"/>
    <n v="0.6"/>
    <s v="arithmetic_error"/>
    <s v="correct_answer"/>
    <s v="arithmetic_error"/>
    <s v="conceptual_misunderstanding"/>
    <s v="conceptual_misunderstanding"/>
  </r>
  <r>
    <n v="49"/>
    <s v="จงหาค่าของ $\lim_{x \to \pi/2} \frac{1 - \sin x}{1 + \cos 2x}$"/>
    <s v="c"/>
    <s v="$0$"/>
    <s v=" $\\frac{1}{8}$"/>
    <s v=" $\\frac{1}{4}$"/>
    <s v=" $\\frac{1}{2}$"/>
    <s v="$1$"/>
    <s v="วิธีทำ: ใช้เอกลักษณ์ตรีโกณฯ $\cos 2x = 1 - 2\sin^2 x$ ตัวส่วนจะกลายเป็น $2 - 2\sin^2 x = 2(1-\sin x)(1+\sin x)$ ตัดเทอม $(1-\sin x)$ กับตัวเศษ จะเหลือ $\lim_{x \to \pi/2} \frac{1}{2(1+\sin x)}$ แทนค่า $x=\pi/2$ จะได้ $\frac{1}{2(1+1)} = \frac{1}{4}$ วิเคราะห์ช้อยส์หลอก: ช้อยส์อื่นเกิดจากการแปลงเอกลักษณ์ตรีโกณมิติผิด หรือคิดค่า $\sin(\pi/2)$ ผิดพลาด"/>
    <x v="2"/>
    <x v="4"/>
    <x v="15"/>
    <x v="0"/>
    <n v="0.75"/>
    <n v="0.55000000000000004"/>
    <s v="arithmetic_error"/>
    <s v="arithmetic_error"/>
    <s v="correct_answer"/>
    <s v="arithmetic_error"/>
    <s v="arithmetic_error"/>
  </r>
  <r>
    <n v="50"/>
    <s v="กำหนดให้ $f(x)$ เป็นฟังก์ชันที่หาอนุพันธ์ได้ โดยที่ $f(1) = 2$ และ $f^{\prime}(1) = 3$ จงหาค่าของ $\lim_{x \to 1} \frac{f(x)^2 - 4}{x^2 - 1}$"/>
    <s v="c"/>
    <s v="$3$"/>
    <s v="$4$"/>
    <s v="$6$"/>
    <s v="$8$"/>
    <s v="$12$"/>
    <s v="วิธีทำ: เมื่อแทนค่าจะได้ $0/0$ ใช้กฎของโลปิตาล อนุพันธ์ตัวเศษใช้กฎลูกโซ่ได้ $2f(x)f'(x)$ อนุพันธ์ตัวส่วนได้ $2x$ จะได้ลิมิตคือ $\frac{2f(1)f'(1)}{2(1)} = f(1)f'(1) = 2 \times 3 = 6$ วิเคราะห์ช้อยส์หลอก: ช้อยส์ A และ B เกิดจากการลืมคูณ $f'(x)$ ตอนดิฟเศษ (ลืมกฎลูกโซ่) ช้อยส์ D เอา $f(1)$ กับ $f'(1)$ มาบวกกันแทน"/>
    <x v="2"/>
    <x v="4"/>
    <x v="12"/>
    <x v="0"/>
    <n v="0.7"/>
    <n v="0.55000000000000004"/>
    <s v="arithmetic_error"/>
    <s v="forgot_chain_rule_inner"/>
    <s v="correct_answer"/>
    <s v="arithmetic_error"/>
    <s v="arithmetic_error"/>
  </r>
  <r>
    <n v="51"/>
    <s v="ให้ $a, b$ เป็นจำนวนจริงที่ไม่เท่ากับศูนย์ และ $f(x) = ax^2 + bx + 1$ ถ้า $f(-1) = 0$ และเรนจ์ของ $f$ คือ $[0, \infty)$ แล้วค่าของ $\int_{-1}^{2} f(x) dx$"/>
    <s v="d"/>
    <s v="$5$"/>
    <s v="$7$"/>
    <s v="$8$"/>
    <s v="$9$"/>
    <s v="$11$"/>
    <s v="วิธีทำ: เรนจ์คือ $[0, \infty)$ แสดงว่าเป็นพาราโบลาหงายที่มีจุดยอดแตะแกน $X$ พอดี จาก $f(-1)=0$ แสดงว่าจุดยอดคือ $x=-1$ จะได้สมการในรูป $f(x) = a(x+1)^2 = ax^2+2ax+a$ เทียบสัมประสิทธิ์โจทย์พบว่าค่าคงที่คือ $1$ ดังนั้น $a=1$ จะได้ $f(x) = (x+1)^2$ อินทิเกรต $\int_{-1}^{2} (x+1)^2 dx = [\frac{(x+1)^3}{3}]_{-1}^{2} = \frac{3^3}{3} - 0 = 9$ วิเคราะห์ช้อยส์หลอก: ช้อยส์หลอกเกิดจากการตีความเงื่อนไขเรนจ์ไม่ออก ทำให้ตั้งสมการผิด หรืออินทิเกรตคิดเลขพลาด"/>
    <x v="1"/>
    <x v="8"/>
    <x v="1"/>
    <x v="2"/>
    <n v="0.85"/>
    <n v="0.65"/>
    <s v="arithmetic_error"/>
    <s v="arithmetic_error"/>
    <s v="arithmetic_error"/>
    <s v="correct_answer"/>
    <s v="arithmetic_error"/>
  </r>
  <r>
    <n v="52"/>
    <s v="จงหาค่าของ $\int_{-4}^{2} \frac{x^3 + x^2 + x}{\left| x+2 \right| - x^2 - 2} dx$"/>
    <s v="c"/>
    <s v="$5$"/>
    <s v="$6$"/>
    <s v="$7$"/>
    <s v="$8$"/>
    <s v="หาค่าไม่ได้"/>
    <s v="วิธีทำ: โจทย์อินทิกรัลที่ติดค่าสัมบูรณ์ต้องแยกช่วงพิจารณาที่จุดวิกฤต ซึ่งคือ $x=-2$ โดยต้องแบ่งเป็น $\int_{-4}^{-2}$ (ถอดค่าสัมบูรณ์ติดลบ) และ $\int_{-2}^{2}$ (ถอดค่าสัมบูรณ์เป็นบวก) จากนั้นหาค่าทีละช่วงแล้วนำมาบวกกัน วิเคราะห์ช้อยส์หลอก: ช้อยส์ที่ผิดเกิดจากการมองข้ามค่าสัมบูรณ์แล้วอินทิเกรตรวดเดียว หรือถอดเครื่องหมายสัมบูรณ์ผิดช่วง"/>
    <x v="1"/>
    <x v="8"/>
    <x v="16"/>
    <x v="0"/>
    <n v="0.8"/>
    <n v="0.6"/>
    <s v="arithmetic_error"/>
    <s v="arithmetic_error"/>
    <s v="correct_answer"/>
    <s v="arithmetic_error"/>
    <s v="conceptual_misunderstanding"/>
  </r>
  <r>
    <n v="53"/>
    <s v="กำหนด $f(x) = 2x + 5$ และ $g(x) = ax^2 + bx + c$ ถ้า $(f^{-1} \circ g)(0) = 2$, $\int_{0}^{1} (f^{-1} \circ g)(x) dx = 1$ และ $(f^{-1} \circ g)^{\prime}(1) = \dots$"/>
    <s v="c"/>
    <s v="$5$"/>
    <s v="$6$"/>
    <s v="$7$"/>
    <s v="$8$"/>
    <s v="$9$"/>
    <s v="วิธีทำ: (ข้อความโจทย์ตัดทอน) หา $f^{-1}(x) = \frac{x-5}{2}$ จะได้ฟังก์ชันประกอบ $h(x) = \frac{ax^2+bx+c-5}{2}$ จาก $h(0)=2$ ทำให้หาค่า $c=9$ ได้ เงื่อนไขอินทิกรัลจะสร้างสมการ $\frac{a}{6}+\frac{b}{4}=-1$ และเงื่อนไขอนุพันธ์ที่หายไปจะช่วยหาค่า $a, b$ ที่เหลือจนนำไปสู่คำตอบได้ วิเคราะห์ช้อยส์หลอก: ไม่สามารถวิเคราะห์ได้ชัดเจนเนื่องจากโจทย์ไม่สมบูรณ์"/>
    <x v="1"/>
    <x v="8"/>
    <x v="17"/>
    <x v="2"/>
    <n v="0.9"/>
    <n v="0.7"/>
    <s v="unclassified_error"/>
    <s v="unclassified_error"/>
    <s v="correct_answer"/>
    <s v="unclassified_error"/>
    <s v="unclassified_error"/>
  </r>
  <r>
    <n v="54"/>
    <s v="กำหนดให้ $f(x) = ax^2 + bx + c$ ถ้า $f(-1) + f(1) = 14$, $f(0) = 2$ และ $\int_{0}^{1} f(x) dx = 2$ แล้วค่าของ $\int_{0}^{1} f(3x) dx$ เท่ากับข้อใด"/>
    <s v="d"/>
    <s v="$8$"/>
    <s v="$9$"/>
    <s v="$10$"/>
    <s v="$11$"/>
    <s v="$12$"/>
    <s v="วิธีทำ: (หมายเหตุ: คำตอบทางคณิตศาสตร์คือ $12$ ซึ่งตรงกับช้อยส์ E แต่เฉลยระบุ D=$11$) จาก $f(0)=2 \Rightarrow c=2$ จาก $f(-1)+f(1)=14 \Rightarrow a=5$ จากอินทิกรัลได้ $b=-10/3$ จะได้ $f(x)=5x^2-\frac{10}{3}x+2$ หา $f(3x) = 45x^2-10x+2$ เมื่อนำไปอินทิเกรตจำกัดเขตจาก $0$ ถึง $1$ จะได้ผลลัพธ์เป็น $12$ วิเคราะห์ช้อยส์หลอก: ช้อยส์ A, B, C เกิดจากการแก้ระบบสมการหา $a,b,c$ ผิด ช้อยส์ D (เฉลย) คาดว่าเป็นการคำนวณเลขเศษส่วนผิดพลาดของผู้ออกข้อสอบ"/>
    <x v="1"/>
    <x v="8"/>
    <x v="17"/>
    <x v="0"/>
    <n v="0.75"/>
    <n v="0.6"/>
    <s v="arithmetic_error"/>
    <s v="arithmetic_error"/>
    <s v="arithmetic_error"/>
    <s v="correct_answer"/>
    <s v="arithmetic_error"/>
  </r>
  <r>
    <n v="55"/>
    <s v="กำหนดให้ $f(x) = ax^3 + bx^2 + 1$ ถ้า $\lim_{x \to 2} \frac{f(x) - f(2)}{x - 2} = 0$ และ $\int_{0}^{1} f(x) dx = \frac{1}{4}$ แล้วค่าของ $\dots$"/>
    <s v="c"/>
    <s v="$12$"/>
    <s v="$15$"/>
    <s v="$18$"/>
    <s v="$24$"/>
    <s v="$0$"/>
    <s v="วิธีทำ: ลิมิตที่ให้มาคือนิยามของอนุพันธ์ $f'(2) = 0$ ซึ่งทำให้ได้สมการ $12a+4b=0 \Rightarrow b=-3a$ นำไปแทนในเงื่อนไขอินทิกรัล $\frac{a}{4}+\frac{b}{3}+1 = \frac{1}{4}$ แก้สมการได้ $a=1, b=-3$ ดังนั้น $f(x) = x^3-3x^2+1$ (ส่วนคำถามถูกตัดทอน แต่ใช้ฟังก์ชันนี้หาคำตอบต่อได้) วิเคราะห์ช้อยส์หลอก: ถือเป็น Unclassified Error เนื่องจากข้อความคำถามขาดหายไป"/>
    <x v="0"/>
    <x v="9"/>
    <x v="1"/>
    <x v="0"/>
    <n v="0.85"/>
    <n v="0.65"/>
    <s v="unclassified_error"/>
    <s v="unclassified_error"/>
    <s v="correct_answer"/>
    <s v="unclassified_error"/>
    <s v="unclassified_error"/>
  </r>
  <r>
    <n v="56"/>
    <s v="กำหนดให้ $f$ เป็นฟังก์ชันพหุนาม โดยที่ $f^{\prime}(x) = ax^2 + bx + c$ เมื่อ $a, b, c$ เป็นจำนวนจริง และ $f(0) = 1, f(1) = 2, f^{\prime}(1) = 3$ จงหาค่าของ $f(-1)$"/>
    <s v="b"/>
    <s v="$-1$"/>
    <s v="$0$"/>
    <s v="$1$"/>
    <s v="$2$"/>
    <s v="$3$"/>
    <s v="วิธีทำ: (โจทย์ซ้ำกับข้อ 17) จาก $f'(1)=3$ จะได้ $a+b=3 \Rightarrow b=3-a$ อินทิเกรตหา $f(x)$ แล้วใช้ $f(0)=1$ ได้ค่าคงที่ $C=1$ แทน $f(1)=2$ แล้วแก้สมการจะได้ $a=3, b=0$ จะได้ $f(x) = x^3+1$ ดังนั้น $f(-1) = (-1)^3+1 = 0$ วิเคราะห์ช้อยส์หลอก: ช้อยส์ที่ผิดเกิดจากการอินทิเกรตผิดสูตร หรือแก้สมการสองตัวแปรหาค่า a, b ผิดพลาด"/>
    <x v="1"/>
    <x v="1"/>
    <x v="1"/>
    <x v="1"/>
    <n v="0.6"/>
    <n v="0.45"/>
    <s v="arithmetic_error"/>
    <s v="correct_answer"/>
    <s v="arithmetic_error"/>
    <s v="arithmetic_error"/>
    <s v="arithmetic_error"/>
  </r>
  <r>
    <n v="57"/>
    <s v="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"/>
    <s v="c"/>
    <s v="$2$"/>
    <s v=" $\\frac{4}{3}$"/>
    <s v=" $\\frac{8}{3}$"/>
    <s v="$4$"/>
    <s v=" $\\frac{16}{3}$"/>
    <s v="วิธีทำ: ทั้งสองฟังก์ชันเป็นพาราโบลาที่หน้าตาเหมือนกันแค่คว่ำกับหงาย จุดตัดแกน $X$ คือ $x=1, 3$ พื้นที่ $A = \left| \int_{1}^{3} (x^2-4x+3) dx \right| = \left| [\frac{x^3}{3} - 2x^2 + 3x]_{1}^{3} \right| = \frac{4}{3}$ เนื่องจากสมมาตรกัน พื้นที่ $B$ ก็เท่ากับ $4/3$ ด้วย ดังนั้น $A+B = \frac{8}{3}$ วิเคราะห์ช้อยส์หลอก: ช้อยส์ D และ E เกิดจากการอินทิเกรตเลขผิด ช้อยส์ B ($4/3$) คือหาพื้นที่แค่ส่วนเดียวแล้วลืมนำมาบวกกัน"/>
    <x v="3"/>
    <x v="3"/>
    <x v="3"/>
    <x v="0"/>
    <n v="0.75"/>
    <n v="0.55000000000000004"/>
    <s v="arithmetic_error"/>
    <s v="conceptual_misunderstanding"/>
    <s v="correct_answer"/>
    <s v="arithmetic_error"/>
    <s v="arithmetic_error"/>
  </r>
  <r>
    <n v="58"/>
    <s v="จงหาค่าของ $\int_{0}^{3} (x + 1)\sqrt{x + 1} dx$"/>
    <s v="c"/>
    <s v=" $\\frac{54}{5}$"/>
    <s v="$\\frac{58}{5}$"/>
    <s v="$\\frac{62}{5}$"/>
    <s v=" $\\frac{64}{5}$"/>
    <s v="$\\frac{70}{5}$"/>
    <s v="วิธีทำ: รวบเลขชี้กำลังจะได้ $\int_{0}^{3} (x+1)^{3/2} dx$ ใช้วิธีเปลี่ยนตัวแปร $u = x+1, du = dx$ จะได้ $\int_{1}^{4} u^{3/2} du = [\frac{2}{5} u^{5/2}]_{1}^{4} = \frac{2}{5} (4^{5/2} - 1^{5/2}) = \frac{2}{5} (32 - 1) = \frac{62}{5}$ วิเคราะห์ช้อยส์หลอก: ช้อยส์อื่น ๆ ล้วนเกิดจากการคิดเลขเศษส่วนและเลขยกกำลังผิดพลาดในขั้นตอนสุดท้ายของการแทนค่าขอบเขต"/>
    <x v="1"/>
    <x v="8"/>
    <x v="18"/>
    <x v="1"/>
    <n v="0.7"/>
    <n v="0.6"/>
    <s v="arithmetic_error"/>
    <s v="arithmetic_error"/>
    <s v="correct_answer"/>
    <s v="arithmetic_error"/>
    <s v="arithmetic_error"/>
  </r>
  <r>
    <n v="59"/>
    <s v="จงหาค่าของ $\int (3x^2 - 2x + 5) dx$"/>
    <s v="a"/>
    <s v="$x^3 - x^2 + 5x + C$"/>
    <s v=" $3x^3 - 2x^2 + 5x + C$"/>
    <s v="$x^3 - x^2 + 5 + C$"/>
    <s v="$x^3 - x^2 + 5x$"/>
    <s v="$x^3 - x^2 + 5x + 1$"/>
    <s v="วิธีทำ: (โจทย์ซ้ำกับข้อ 2) ใช้อินทิเกรตพหุนาม (Power Rule) จะได้ $\frac{3x^3}{3} - \frac{2x^2}{2} + 5x + C = x^3 - x^2 + 5x + C$ วิเคราะห์ช้อยส์หลอก: ช้อยส์ B อินทิเกรตผิดสูตร ช้อยส์ C ลืมอินทิเกรตค่าคงที่ ช้อยส์ D และ E ขาดความเข้าใจเรื่องปริพันธ์ไม่จำกัดเขตโดยลืมบวกค่าคงที่ $C$"/>
    <x v="1"/>
    <x v="1"/>
    <x v="1"/>
    <x v="3"/>
    <n v="0.2"/>
    <n v="0.3"/>
    <s v="correct_answer"/>
    <s v="wrong_integration_formula"/>
    <s v="constant_derivative_error"/>
    <s v="forgot_plus_c"/>
    <s v="forgot_plus_c"/>
  </r>
  <r>
    <n v="60"/>
    <s v="กำหนดให้ $f^{\prime\prime}(x) = 12x$ จงหา $f(x)$ เมื่อ $f^{\prime}(0) = 1$ และ $f(0) = 2$"/>
    <s v="a"/>
    <s v="$2x^3 + x + 2$"/>
    <s v="$2x^3 + x$"/>
    <s v="$4x^3 + x + 2$"/>
    <s v="$2x^2 + x + 2$"/>
    <s v="$2x^3 + 2$"/>
    <s v="วิธีทำ: อินทิเกรต $f''(x)$ จะได้ $f'(x) = 6x^2 + C_1$ จาก $f'(0) = 1$ จะได้ $C_1 = 1$ ดังนั้น $f'(x) = 6x^2 + 1$ อินทิเกรตอีกครั้งจะได้ $f(x) = 2x^3 + x + C_2$ จาก $f(0) = 2$ จะได้ $C_2 = 2$ ดังนั้น $f(x) = 2x^3 + x + 2$ วิเคราะห์ช้อยส์หลอก: ช้อยส์ที่ผิดเกิดจากการลืมบวกค่าคงที่ $C$ ในขั้นตอนการอินทิเกรต หรืออินทิเกรตผิดสูตรเช่นนำสัมประสิทธิ์ไปหารเลขชี้กำลังเดิม"/>
    <x v="1"/>
    <x v="1"/>
    <x v="1"/>
    <x v="1"/>
    <n v="0.4"/>
    <n v="0.4"/>
    <s v="correct_answer"/>
    <s v="forgot_plus_c"/>
    <s v="wrong_integration_formula"/>
    <s v="wrong_integration_formula"/>
    <s v="forgot_plus_c"/>
  </r>
  <r>
    <n v="61"/>
    <s v="จงหาพื้นที่ที่ปิดล้อมด้วยเส้นโค้ง $y = x^2$ และ $y = x$"/>
    <s v="b"/>
    <s v="$\\frac{1}{12}$"/>
    <s v="$\\frac{1}{6}$"/>
    <s v=" $\\frac{1}{3}$"/>
    <s v=" $\\frac{1}{2}$"/>
    <s v="$1$"/>
    <s v="วิธีทำ: หาจุดตัดโดยตั้ง $x^2 = x \Rightarrow x(x-1) = 0$ ได้ $x = 0, 1$ ในช่วงนี้เส้นตรง $y=x$ อยู่เหนือพาราโบลา ตั้งสมการพื้นที่ $\int_{0}^{1} (x - x^2) dx = [\frac{x^2}{2} - \frac{x^3}{3}]_{0}^{1} = \frac{1}{2} - \frac{1}{3} = \frac{1}{6}$ วิเคราะห์ช้อยส์หลอก: ช้อยส์อื่นๆ เกิดจากการลบเศษส่วนผิดพลาด หรือสลับตำแหน่งเอา $x^2$ ตั้งลบด้วย $x$ แล้วลืมใส่ค่าสัมบูรณ์"/>
    <x v="3"/>
    <x v="3"/>
    <x v="3"/>
    <x v="1"/>
    <n v="0.5"/>
    <n v="0.45"/>
    <s v="arithmetic_error"/>
    <s v="correct_answer"/>
    <s v="arithmetic_error"/>
    <s v="arithmetic_error"/>
    <s v="arithmetic_error"/>
  </r>
  <r>
    <n v="62"/>
    <s v="ถ้า $f(x)$ ต่อเนื่องบน $[a, b]$ และ $\displaystyle \int_a^b f(x) dx = 10$ จงหาค่าของ $\displaystyle \int_a^b 2f(x) dx$"/>
    <s v="c"/>
    <s v=" $5$"/>
    <s v=" $10$"/>
    <s v=" $20$"/>
    <s v=" $40$"/>
    <s v="หาค่าไม่ได้"/>
    <s v="วิธีทำ: จากสมบัติของอินทิกรัลจำกัดเขต สามารถดึงค่าคงที่ออกมานอกเครื่องหมายอินทิเกรตได้ $\int_{a}^{b} 2f(x) dx = 2 \int_{a}^{b} f(x) dx = 2(10) = 20$ วิเคราะห์ช้อยส์หลอก: ช้อยส์ที่ผิดเกิดจากความไม่เข้าใจสมบัติของอินทิกรัล เช่นนำไปหารสอง ไม่นำไปคูณ หรือนำค่ายกกำลัง"/>
    <x v="1"/>
    <x v="8"/>
    <x v="9"/>
    <x v="3"/>
    <n v="0.35"/>
    <n v="0.4"/>
    <s v="arithmetic_error"/>
    <s v="conceptual_misunderstanding"/>
    <s v="correct_answer"/>
    <s v="arithmetic_error"/>
    <s v="conceptual_misunderstanding"/>
  </r>
  <r>
    <n v="63"/>
    <s v="ให้ $f$ เป็นฟังก์ชันหนึ่งต่อหนึ่ง โดย $f^{-1}(x) = \frac{2x}{x+1}$ พิจารณาข้อความ (ก) $2f^{\prime}(4) - f(4) = 3$, (ข) $f^{\prime\prime}(f(4)) = f^{\prime\prime}(f^{\prime}(4))$, (ค) $f$ เป็นฟังก์ชันเพิ่มบนช่วง $(0, 2)$"/>
    <s v="a"/>
    <s v="(ก) และ (ข) ถูก แต่ (ค) ผิด"/>
    <s v="(ก) และ (ค) ถูก แต่ (ข) ผิด"/>
    <s v="(ข) และ (ค) ถูก แต่ (ก) ผิด "/>
    <s v="ถูกทั้งสามข้อ"/>
    <s v="ผิดทั้งสามข้อ"/>
    <s v="วิธีทำ: หา $f(x)$ โดยสลับตัวแปร จะได้ $f(x) = \frac{x}{2-x}$ หาอนุพันธ์ $f'(x) = \frac{2}{(2-x)^2}$ จะพบว่า $f'(x) &gt; 0$ เสมอเมื่อ $x \ne 2$ ดังนั้น (ค) ถูกต้อง ส่วน $f(4) = -2$ และ $f'(4) = 1/2$ ทำให้ (ก) $2(1/2) - (-2) = 3$ ถูกต้อง สำหรับ (ข) เมื่อคำนวณจะได้ $f''(-2) \ne f''(1/2)$ จึงผิด (หมายเหตุ: ช้อยส์ถูกตัดทอนแต่อิงจากเฉลย A คือข้อที่ระบุว่า ก และ ค ถูก) วิเคราะห์ช้อยส์หลอก: เนื่องจากช้อยส์ปลายทางถูกตัดทอน จึงระบุเป็น Error Code ที่เกี่ยวข้องกับการประเมินข้อความผิด"/>
    <x v="0"/>
    <x v="10"/>
    <x v="19"/>
    <x v="0"/>
    <n v="0.8"/>
    <n v="0.65"/>
    <s v="correct_answer"/>
    <s v="unclassified_error"/>
    <s v="unclassified_error"/>
    <s v="unclassified_error"/>
    <s v="unclassified_error"/>
  </r>
  <r>
    <n v="64"/>
    <s v="กำหนดให้ $P(x)$ เป็นพหุนามดีกรี $2567$ ที่มีสัมประสิทธิ์เป็นจำนวนจริง ให้ $x_1, \dots, x_k$ เป็นรากจริงที่แตกต่างกันของ $P(x)$ และ $n_i$ คือจำนวนน้อยสุดที่ทำให้ $P^{(n_i)}(x_i) \ne 0$"/>
    <s v="b"/>
    <s v="$2566$"/>
    <s v="$2567$"/>
    <s v="$k$"/>
    <s v="$2k$"/>
    <s v="หาค่าไม่ได้"/>
    <s v="วิธีทำ: (โจทย์ถูกตัดทอนแต่คาดว่าถามถึงผลรวมของ $n_i$) ค่า $n_i$ ในที่นี้คือ Multiplicity หรือจำนวนความซ้ำของราก $x_i$ ตามทฤษฎีบทพีชคณิต พหุนามดีกรี $n$ จะมีผลรวมของความซ้ำของราก (ทั้งจริงและเชิงซ้อน) สูงสุดเท่ากับ $n$ ดังนั้นผลรวมสูงสุดที่เป็นไปได้คือดีกรีของพหุนาม ซึ่งก็คือ $2567$ วิเคราะห์ช้อยส์หลอก: ช้อยส์อื่นเป็นการหลอกด้วยตัวเลขใกล้เคียง หรือขาดความเข้าใจในทฤษฎีบทพื้นฐานของพีชคณิต"/>
    <x v="0"/>
    <x v="11"/>
    <x v="20"/>
    <x v="0"/>
    <n v="0.75"/>
    <n v="0.6"/>
    <s v="conceptual_misunderstanding"/>
    <s v="correct_answer"/>
    <s v="conceptual_misunderstanding"/>
    <s v="conceptual_misunderstanding"/>
    <s v="conceptual_misunderstanding"/>
  </r>
  <r>
    <n v="65"/>
    <s v="กำหนดให้ $f(x) = x^3 + 2x - 1$ จงหาค่าของ $(f^{-1})^{\prime}(2)$"/>
    <s v="b"/>
    <s v="$1/4$"/>
    <s v="$1/5$"/>
    <s v="$1/8$"/>
    <s v="$5$"/>
    <s v="$4$"/>
    <s v="วิธีทำ: ใช้สูตรอนุพันธ์ฟังก์ชันผกผัน $(f^{-1})'(y) = \frac{1}{f'(x)}$ ขั้นแรกหา $x$ ที่ทำให้ $f(x) = 2 \Rightarrow x^3 + 2x - 1 = 2 \Rightarrow x^3 + 2x - 3 = 0$ จะได้ $x=1$ ถัดมาหา $f'(x) = 3x^2 + 2$ ดังนั้น $f'(1) = 5$ นำไปแทนในสูตรจะได้ $\frac{1}{5}$ วิเคราะห์ช้อยส์หลอก: ช้อยส์ที่ผิดเกิดจากการแก้สมการหาค่า $x$ ผิด หรือลืมส่วนกลับ (ตอบ $5$ ทันที)"/>
    <x v="0"/>
    <x v="10"/>
    <x v="9"/>
    <x v="0"/>
    <n v="0.85"/>
    <n v="0.7"/>
    <s v="arithmetic_error"/>
    <s v="correct_answer"/>
    <s v="arithmetic_error"/>
    <s v="conceptual_misunderstanding"/>
    <s v="arithmetic_error"/>
  </r>
  <r>
    <n v="66"/>
    <s v="กำหนดให้ $g(x)$ หาอนุพันธ์ได้ โดยที่ $g(1) = 3$ และ $g^{\prime}(1) = 5$ ถ้า $h(x) = g(x^2)(x^2 + 1)$ จงหาค่าของ $h^{\prime}(1)$"/>
    <s v="c"/>
    <s v="$10$"/>
    <s v="$14$"/>
    <s v="$16$"/>
    <s v="$20$"/>
    <s v="$26$"/>
    <s v="วิธีทำ: (หมายเหตุ: คำตอบทางคณิตศาสตร์คือ $26$ ซึ่งตรงกับช้อยส์ E แต่เฉลยในตารางระบุ C=$16$) หาอนุพันธ์ด้วยกฎผลคูณและกฎลูกโซ่ $h'(x) = g'(x^2)(2x)(x^2+1) + g(x^2)(2x)$ แทนค่า $x=1$ จะได้ $h'(1) = g'(1)(2)(2) + g(1)(2) = 5(4) + 3(2) = 26$ วิเคราะห์ช้อยส์หลอก: ช้อยส์ C (เฉลย) และช้อยส์อื่นๆ เกิดจากการลืมคูณอนุพันธ์ไส้ (กฎลูกโซ่) หรือใช้กฎผลคูณผิดพลาดในขั้นตอนใดขั้นตอนหนึ่ง"/>
    <x v="0"/>
    <x v="12"/>
    <x v="0"/>
    <x v="1"/>
    <n v="0.7"/>
    <n v="0.55000000000000004"/>
    <s v="arithmetic_error"/>
    <s v="arithmetic_error"/>
    <s v="correct_answer"/>
    <s v="arithmetic_error"/>
    <s v="arithmetic_error"/>
  </r>
  <r>
    <n v="67"/>
    <s v="จงหาอนุพันธ์อันดับที่ 2 ของ $f(x) = \ln(2x + 1)$ ที่ $x = 0.5$"/>
    <s v="b"/>
    <s v=" $-1/2$"/>
    <s v=" $-1$"/>
    <s v=" $-2$"/>
    <s v=" $1$"/>
    <s v=" $-1/4$"/>
    <s v="วิธีทำ: หาอนุพันธ์อันดับหนึ่ง $f'(x) = \frac{1}{2x+1} \cdot 2 = 2(2x+1)^{-1}$ หาอนุพันธ์อันดับสอง $f''(x) = -2(2x+1)^{-2} \cdot 2 = \frac{-4}{(2x+1)^2}$ แทนค่า $x = 0.5$ จะได้ $f''(0.5) = \frac{-4}{(2(0.5)+1)^2} = \frac{-4}{2^2} = -1$ วิเคราะห์ช้อยส์หลอก: ช้อยส์ผิดเกิดจากการลืมดิฟไส้ (กฎลูกโซ่) ในอนุพันธ์อันดับหนึ่งหรือสอง หรือคิดเลขเศษส่วนพลาด"/>
    <x v="0"/>
    <x v="13"/>
    <x v="21"/>
    <x v="1"/>
    <n v="0.65"/>
    <n v="0.55000000000000004"/>
    <s v="forgot_chain_rule_inner"/>
    <s v="correct_answer"/>
    <s v="arithmetic_error"/>
    <s v="sign_error"/>
    <s v="arithmetic_error"/>
  </r>
  <r>
    <n v="68"/>
    <s v="กำหนดให้ $f(x)$ เป็นพหุนาม ถ้า $f(\sqrt{x} - 1) = x$ เมื่อ $x &gt; 0$ แล้ว $f^{\prime}(1)$ เท่ากับเท่าใด"/>
    <s v="c"/>
    <s v=" $1$"/>
    <s v=" $2$"/>
    <s v=" $4$"/>
    <s v=" $5$"/>
    <s v=" $8$"/>
    <s v="วิธีทำ: (โจทย์ซ้ำกับข้อ 4) หาอนุพันธ์ทั้งสองข้างด้วยกฎลูกโซ่ $f'(\sqrt{x}-1) \cdot \frac{1}{2\sqrt{x}} = 1$ เมื่อต้องการหา $f'(1)$ ต้องตั้ง $\sqrt{x}-1 = 1 \Rightarrow x=4$ นำไปแทนค่าได้ $f'(1) \cdot \frac{1}{4} = 1 \Rightarrow f'(1) = 4$ วิเคราะห์ช้อยส์หลอก: ช้อยส์ผิดเกิดจากการแทนค่า $x=1$ ลงไปดื้อๆ หรือประเมินฟังก์ชันประกอบผิด"/>
    <x v="0"/>
    <x v="0"/>
    <x v="0"/>
    <x v="0"/>
    <n v="0.8"/>
    <n v="0.6"/>
    <s v="conceptual_misunderstanding"/>
    <s v="composite_evaluation_error"/>
    <s v="correct_answer"/>
    <s v="arithmetic_error"/>
    <s v="arithmetic_error"/>
  </r>
  <r>
    <n v="69"/>
    <s v="กำหนดให้ $f$ เป็นฟังก์ชัน โดยที่ $f^{\prime}(x) = 2x + 1$ ถ้า $h(x) = f(x^2)$ แล้ว $h^{\prime}(x)$ มีค่าเท่ากับเท่าใด"/>
    <s v="d"/>
    <s v="$4x + 2$"/>
    <s v="$2x^2 + 1$"/>
    <s v="$4x^2 + 2x$"/>
    <s v="$4x^3 + 2x$"/>
    <s v="$4x^3 + 4x$"/>
    <s v="วิธีทำ: หาอนุพันธ์ด้วยกฎลูกโซ่ $h'(x) = f'(x^2) \cdot \frac{d}{dx}(x^2) = f'(x^2) \cdot 2x$ จากที่โจทย์กำหนด $f'(x) = 2x+1$ เมื่อแทน $x$ ด้วย $x^2$ จะได้ $f'(x^2) = 2x^2+1$ นำกลับไปแทนในสมการแรกจะได้ $h'(x) = (2x^2+1)(2x) = 4x^3 + 2x$ วิเคราะห์ช้อยส์หลอก: ช้อยส์ที่ผิดเกิดจากการลืมคูณดิฟไส้ $2x$ หรือสับสนนำ $f'(x)$ ไปยกกำลังสองแทนการแทนค่า"/>
    <x v="0"/>
    <x v="14"/>
    <x v="17"/>
    <x v="1"/>
    <n v="0.45"/>
    <n v="0.4"/>
    <s v="forgot_chain_rule_inner"/>
    <s v="forgot_chain_rule_inner"/>
    <s v="composite_evaluation_error"/>
    <s v="correct_answer"/>
    <s v="arithmetic_error"/>
  </r>
  <r>
    <n v="70"/>
    <s v="กำหนดให้ $f(x) = \left|x^2 - 9\right|$ พิจารณาข้อความ (ก) $f^{\prime}(3)$ หาค่าได้ (ข) $f^{\prime}(-3)$ หาค่าไม่ได้ (ค) $f^{\prime}(0) = 0$ ข้อใดถูกต้อง"/>
    <s v="d"/>
    <s v="(ก) เท่านั้น"/>
    <s v=" (ข) เท่านั้น "/>
    <s v=" (ค) เท่านั้น "/>
    <s v=" (ข) และ (ค) ถูก"/>
    <s v="ถูกทุกข้อ"/>
    <s v="วิธีทำ: ฟังก์ชันค่าสัมบูรณ์จะมีจุดหักมุม (Cusp) ที่ทำให้ค่าในค่าสัมบูรณ์เป็นศูนย์ ซึ่งคือ $x = 3, -3$ ที่จุดเหล่านี้ฟังก์ชันจะหาอนุพันธ์ไม่ได้ ดังนั้น (ก) ผิด และ (ข) ถูก สำหรับ $x=0$ ค่าในสัมบูรณ์ติดลบ จึงถอดได้ $f(x) = 9-x^2$ ซึ่ง $f'(x) = -2x \Rightarrow f'(0) = 0$ ดังนั้น (ค) ถูกต้อง วิเคราะห์ช้อยส์หลอก: ช้อยส์อื่นเกิดจากความไม่เข้าใจนิยามความต่อเนื่องและการหาอนุพันธ์ของฟังก์ชันค่าสัมบูรณ์"/>
    <x v="0"/>
    <x v="9"/>
    <x v="22"/>
    <x v="0"/>
    <n v="0.75"/>
    <n v="0.6"/>
    <s v="conceptual_misunderstanding"/>
    <s v="conceptual_misunderstanding"/>
    <s v="conceptual_misunderstanding"/>
    <s v="correct_answer"/>
    <s v="conceptual_misunderstanding"/>
  </r>
  <r>
    <n v="71"/>
    <s v="กำหนดให้ $f^{\prime}(x) = 2x + 1$ และ $h(x) = f(x^2)$ แล้ว $h^{\prime}(x)$ มีค่าเท่ากับเท่าใด"/>
    <s v="d"/>
    <s v="$4x + 2$"/>
    <s v="$2x^2 + 1$"/>
    <s v="$4x^2 + 2x$"/>
    <s v="$4x^3 + 2x$"/>
    <s v="$4x^3 + 4x$"/>
    <s v="วิธีทำ: (โจทย์ซ้ำกับข้อ 70 ทุกประการ) $h'(x) = f'(x^2) \cdot 2x = (2x^2+1)(2x) = 4x^3 + 2x$ วิเคราะห์ช้อยส์หลอก: ข้อผิดพลาดเกิดจากการลืมดิฟไส้หรือประเมินฟังก์ชันประกอบผิด"/>
    <x v="0"/>
    <x v="14"/>
    <x v="17"/>
    <x v="1"/>
    <n v="0.45"/>
    <n v="0.4"/>
    <s v="forgot_chain_rule_inner"/>
    <s v="forgot_chain_rule_inner"/>
    <s v="composite_evaluation_error"/>
    <s v="correct_answer"/>
    <s v="arithmetic_error"/>
  </r>
  <r>
    <n v="72"/>
    <s v="กำหนดให้ $f(x) = x^3 - 3x^2 + 4$ จงหา $(f^{-1})^{\prime}(4)$"/>
    <s v="a"/>
    <s v="$1/9$"/>
    <s v="$1/3$"/>
    <s v="$3$"/>
    <s v="$9$"/>
    <s v="$-1/9$"/>
    <s v="วิธีทำ: ใช้สูตร $(f^{-1})'(y) = \frac{1}{f'(x)}$ เริ่มจากหา $x$ ที่ทำให้ $x^3 - 3x^2 + 4 = 4 \Rightarrow x^2(x-3) = 0$ โดยทั่วไปโจทย์อนุพันธ์ผกผันจะพิจารณาช่วงที่ฟังก์ชันเป็น 1-1 ซึ่งราก $x=3$ จะใช้งานได้ ($x=0$ เป็นจุดวิกฤต) หา $f'(x) = 3x^2 - 6x$ แทน $x=3$ จะได้ $f'(3) = 27 - 18 = 9$ นำไปกลับเศษส่วนจะได้ $\frac{1}{9}$ วิเคราะห์ช้อยส์หลอก: ช้อยส์ที่ผิดเกิดจากการตอบ $f'(3)$ ตรงๆ โดยลืมกลับเศษส่วน หรือคิดเลขผิด"/>
    <x v="0"/>
    <x v="10"/>
    <x v="9"/>
    <x v="0"/>
    <n v="0.8"/>
    <n v="0.65"/>
    <s v="correct_answer"/>
    <s v="arithmetic_error"/>
    <s v="arithmetic_error"/>
    <s v="conceptual_misunderstanding"/>
    <s v="sign_error"/>
  </r>
  <r>
    <n v="73"/>
    <s v="กำหนดให้ $f(x) = \begin{cases} \frac{x^2-4}{x-2}, &amp; x \ne 2 \\ a, &amp; x = 2 \end{cases}$ และ $g(x) = \begin{cases} \frac{x^2-1}{x-1}, &amp; x \ne 1 \\ b, &amp; x = 1 \end{cases}$ ถ้า $f, g$ ต่อเนื่องทุกจุด แล้ว $f(a+b)$ เท่ากับเท่าใด"/>
    <s v="c"/>
    <s v="$4$ "/>
    <s v=" $6$ "/>
    <s v="$8$"/>
    <s v="$9$ "/>
    <s v="$16$"/>
    <s v="วิธีทำ: ความต่อเนื่องแปลว่าลิมิตเท่ากับค่าฟังก์ชัน $a = \lim_{x \to 2} \frac{(x-2)(x+2)}{x-2} = 4$ และ $b = \lim_{x \to 1} \frac{(x-1)(x+1)}{x-1} = 2$ ต้องการหา $f(a+b) = f(4+2) = f(6)$ ซึ่ง $6 \ne 2$ จึงใช้เงื่อนไขบน $f(6) = \frac{36-4}{6-2} = \frac{32}{4} = 8$ (หรือแทนในฟังก์ชันที่ตัดทอนแล้ว $x+2 = 6+2 = 8$) วิเคราะห์ช้อยส์หลอก: ช้อยส์อื่นเกิดจากการหาค่าลิมิตผิดพลาด หรือบวกเลข a, b พลาด"/>
    <x v="2"/>
    <x v="6"/>
    <x v="9"/>
    <x v="0"/>
    <n v="0.75"/>
    <n v="0.6"/>
    <s v="arithmetic_error"/>
    <s v="arithmetic_error"/>
    <s v="correct_answer"/>
    <s v="arithmetic_error"/>
    <s v="arithmetic_error"/>
  </r>
  <r>
    <n v="74"/>
    <s v="กำหนดให้ $f(x) = \begin{cases} \frac{\sqrt{x}-2}{x-4}, &amp; x &gt; 4 \\ ax+b, &amp; 0 &lt; x \le 4 \\ x^2+4x, &amp; x \le 0 \end{cases}$ ถ้า $f$ ต่อเนื่องทุกจุด แล้ว $f(a+b)$ เท่ากับเท่าใด"/>
    <s v="c"/>
    <s v="$-8$ "/>
    <s v="$-6$ "/>
    <s v="$-4$ "/>
    <s v="$0$ "/>
    <s v="$4$ "/>
    <s v="วิธีทำ: (หมายเหตุ: มีความเป็นไปได้สูงที่โจทย์ตั้งค่าตัวแปรผิดพลาด) ความต่อเนื่องที่ $x=0$ ทำให้ $b = 0^2+4(0) = 0$ ความต่อเนื่องที่ $x=4$ คือ $\lim_{x \to 4} \frac{1}{\sqrt{x}+2} = \frac{1}{4}$ ทำให้ $4a = 1/4 \Rightarrow a=1/16$ ซึ่งโจทย์ถาม $f(a+b) = f(1/16) = \frac{1}{256}$ แต่เฉลยคือ C ($-4$) คาดว่าโจทย์จริงตั้งใจให้สมการหรือตัวเลขต่างออกไปเพื่อให้ได้ $a, b$ ที่ลงตัวกว่านี้ วิเคราะห์ช้อยส์หลอก: ระบุเป็น Unclassified Error เนื่องจากโจทย์น่าจะมีความคลาดเคลื่อนในตัวเลข"/>
    <x v="2"/>
    <x v="6"/>
    <x v="9"/>
    <x v="0"/>
    <n v="0.8"/>
    <n v="0.65"/>
    <s v="unclassified_error"/>
    <s v="unclassified_error"/>
    <s v="correct_answer"/>
    <s v="unclassified_error"/>
    <s v="unclassified_error"/>
  </r>
  <r>
    <n v="75"/>
    <s v="กำหนดให้ $f(x) = \begin{cases} \frac{x^2+2x-3}{x-1}, &amp; x &gt; 1 \\ x^2+ax+b, &amp; x \le 1 \end{cases}$ ถ้า $f$ ต่อเนื่องที่ $x=1$ และ $f^{\prime}(0)=4$ แล้ว $a+b$ เท่ากับเท่าใด"/>
    <s v="c"/>
    <s v="$1$ "/>
    <s v="$2$ "/>
    <s v="$3$ "/>
    <s v="$4$ "/>
    <s v="$5$ "/>
    <s v="วิธีทำ: จาก $f'(0)=4$ จะใช้ฟังก์ชันช่วงล่าง ได้ $f'(x) = 2x+a \Rightarrow f'(0) = a = 4$ ความต่อเนื่องที่ $x=1$ ลิมิตขวาคือ $\lim_{x \to 1^+} \frac{(x-1)(x+3)}{x-1} = 4$ ลิมิตซ้ายคือ $1^2 + 4(1) + b = 5+b$ จับเท่ากัน $5+b = 4 \Rightarrow b=-1$ ดังนั้น $a+b = 4 + (-1) = 3$ วิเคราะห์ช้อยส์หลอก: ช้อยส์ที่ผิดเกิดจากการแยกตัวประกอบลิมิตผิด เครื่องหมายผิดตอนแก้สมการ หรือดิฟฟังก์ชันผิด"/>
    <x v="2"/>
    <x v="6"/>
    <x v="23"/>
    <x v="0"/>
    <n v="0.75"/>
    <n v="0.6"/>
    <s v="arithmetic_error"/>
    <s v="arithmetic_error"/>
    <s v="correct_answer"/>
    <s v="arithmetic_error"/>
    <s v="arithmetic_error"/>
  </r>
  <r>
    <n v="76"/>
    <s v="กำหนดให้ $f(x) = \begin{cases} x+\sqrt{x^2+5}, &amp; x \ge a \\ \frac{15}{\sqrt{x^2+5}}, &amp; x &lt; a \end{cases}$ ถ้า $f$ ต่อเนื่องทุกจำนวนจริง แล้ว $a^2+a$ เท่ากับเท่าใด"/>
    <s v="c"/>
    <s v="$2$ "/>
    <s v="$4$ "/>
    <s v="$6$ "/>
    <s v="$8$ "/>
    <s v="$12$ "/>
    <s v="วิธีทำ: ความต่อเนื่องที่ $x=a$ คือ $a+\sqrt{a^2+5} = \frac{15}{\sqrt{a^2+5}}$ คูณไขว้จะได้ $a\sqrt{a^2+5} + a^2 + 5 = 15 \Rightarrow a\sqrt{a^2+5} = 10-a^2$ ยกกำลังสองทั้งสองข้าง $a^2(a^2+5) = 100 - 20a^2 + a^4$ แก้สมการได้ $a^2 = 4 \Rightarrow a=\pm2$ ตรวจคำตอบพบว่ามีเพียง $a=2$ ที่ทำให้สมการก่อนยกกำลังสองเป็นจริง ดังนั้น $a^2+a = 4+2 = 6$ วิเคราะห์ช้อยส์หลอก: ช้อยส์ผิดเกิดจากการไม่ได้ตรวจคำตอบและนำรากแปลกปลอม $a=-2$ ไปคำนวณ หรือแก้สมการยกกำลังสองผิดพลาด"/>
    <x v="2"/>
    <x v="6"/>
    <x v="4"/>
    <x v="0"/>
    <n v="0.8"/>
    <n v="0.6"/>
    <s v="arithmetic_error"/>
    <s v="arithmetic_error"/>
    <s v="correct_answer"/>
    <s v="arithmetic_error"/>
    <s v="arithmetic_error"/>
  </r>
  <r>
    <n v="77"/>
    <s v="กำหนดให้ $f$ เป็นฟังก์ชันที่หาอนุพันธ์ได้ และ $g(x) = (f(x))^2$ ถ้า $f(7)=3$ และ $g^{\prime}(7)=1$ แล้วอนุพันธ์ของ $f(2x^2+4x-9)$ ที่ $x=2$ มีค่าเท่าใด"/>
    <s v="b"/>
    <s v="$1$ "/>
    <s v="$2$ "/>
    <s v="$3$ "/>
    <s v="$4$ "/>
    <s v="$6$ "/>
    <s v="วิธีทำ: (โจทย์ซ้ำกับข้อ 1) กฎลูกโซ่ $g'(x) = 2f(x)f'(x) \Rightarrow 1 = 2(3)f'(7) \Rightarrow f'(7) = 1/6$ จากนั้นให้ $h(x) = f(2x^2+4x-9)$ จะได้ $h'(x) = f'(2x^2+4x-9) \cdot (4x+4)$ แทน $x=2$ จะได้ $h'(2) = f'(7) \cdot 12 = (1/6) \cdot 12 = 2$ วิเคราะห์ช้อยส์หลอก: เกิดจากคิดเลขผิด หรือไม่เข้าใจการประยุกต์กฎลูกโซ่ซ้อนกัน"/>
    <x v="0"/>
    <x v="0"/>
    <x v="0"/>
    <x v="1"/>
    <n v="0.6"/>
    <n v="0.55000000000000004"/>
    <s v="arithmetic_error"/>
    <s v="correct_answer"/>
    <s v="arithmetic_error"/>
    <s v="arithmetic_error"/>
    <s v="arithmetic_error"/>
  </r>
  <r>
    <n v="78"/>
    <s v="กำหนดให้ $P(x) = (x^{10^0} + x^{10^1} + x^{10^2} + \dots + x^{10^9})^9$ ให้ $A$ เป็นจำนวนหลักของ $P^{\prime}(1)$ และ $B$ เป็นผลบวกเลขโดดของ $P^{\prime}(1)$ จงหา $A+B$"/>
    <s v="c"/>
    <s v="$19$ "/>
    <s v="$23$ "/>
    <s v="$28$ "/>
    <s v="$32$ "/>
    <s v="$36$ "/>
    <s v="วิธีทำ: (หมายเหตุ: คำตอบทางคณิตศาสตร์คือ $108$ แต่เฉลยคือ C=$28$) ให้ $Q(x) = x^{1} + x^{10} + \dots + x^{10^9}$ จะได้ $Q(1) = 10$ หา $Q'(x) = 1 + 10x^9 + \dots$ จะได้ $Q'(1) = 1 + 10 + \dots + 10^9 = 1,111,111,111$ หา $P'(x) = 9(Q(x))^8 \cdot Q'(x)$ แทนค่าได้ $P'(1) = 9(10^8)(1111111111) = 9999999999 \times 10^8$ ซึ่งมีจำนวนหลัก $A=18$ และผลบวกเลขโดด $B=90$ ได้ $A+B=108$ คาดว่าโจทย์มีความผิดพลาดในเลขชี้กำลังหรือตัวเลือกเฉลย วิเคราะห์ช้อยส์หลอก: ช้อยส์ในโจทย์มีค่าต่ำเกินกว่าความเป็นจริงทางคณิตศาสตร์ จึงจัดเป็น Unclassified Error"/>
    <x v="0"/>
    <x v="14"/>
    <x v="20"/>
    <x v="1"/>
    <n v="0.7"/>
    <n v="0.6"/>
    <s v="unclassified_error"/>
    <s v="unclassified_error"/>
    <s v="correct_answer"/>
    <s v="unclassified_error"/>
    <s v="unclassified_error"/>
  </r>
  <r>
    <n v="79"/>
    <s v="กำหนดให้ $f(x) = x^3 + 2x + 3$ และ $g(x) = f^{-1}(x)$ แล้ว $g^{\prime}(6)$ เท่ากับข้อใด"/>
    <s v="c"/>
    <s v="$1/2$ "/>
    <s v=" $1/3$ "/>
    <s v=" $1/5$ "/>
    <s v="$1/14$ "/>
    <s v="$5$"/>
    <s v="วิธีทำ: หา $x$ ที่ $f(x)=6 \Rightarrow x^3+2x+3=6 \Rightarrow x^3+2x-3=0 \Rightarrow x=1$ จากกฎฟังก์ชันผกผัน $g'(6) = \frac{1}{f'(1)}$ หาอนุพันธ์ $f'(x) = 3x^2+2 \Rightarrow f'(1) = 3(1)+2 = 5$ ดังนั้น $g'(6) = \frac{1}{5}$ วิเคราะห์ช้อยส์หลอก: ช้อยส์ที่ผิดเกิดจากการตอบ $f'(1)$ โดยไม่กลับเศษส่วน หรือแก้สมการพหุนามหาค่า $x$ พลาด"/>
    <x v="0"/>
    <x v="10"/>
    <x v="9"/>
    <x v="0"/>
    <n v="0.85"/>
    <n v="0.65"/>
    <s v="arithmetic_error"/>
    <s v="arithmetic_error"/>
    <s v="correct_answer"/>
    <s v="arithmetic_error"/>
    <s v="conceptual_misunderstanding"/>
  </r>
  <r>
    <n v="80"/>
    <s v="กำหนดให้ $f(x) = \begin{cases} (x+1)^2-5, &amp; x &lt; -1 \\ x-1, &amp; -1 \le x \le 1 \\ (x-1)^2-5, &amp; x &gt; 1 \end{cases}$ แล้ว $(f \circ f)^{\prime}(2)$ เท่ากับข้อใด"/>
    <s v="b"/>
    <s v="$12$ "/>
    <s v="$8 "/>
    <s v="$0$ "/>
    <s v="$-8$ "/>
    <s v="$-12$ "/>
    <s v="วิธีทำ: (หมายเหตุ: คำตอบทางคณิตศาสตร์คือ $-12$ แต่เฉลยคือ B=$8$) หา $f(2)$ จากกรณีล่างสุด $(2-1)^2-5 = -4$ จากกฎลูกโซ่ $(f \circ f)'(2) = f'(f(2)) \cdot f'(2) = f'(-4) \cdot f'(2)$ หา $f'(2)$ จากอนุพันธ์ล่าง $2(x-1) \Rightarrow 2$ หา $f'(-4)$ จากอนุพันธ์บน $2(x+1) \Rightarrow 2(-3) = -6$ นำมาคูณกันได้ $(-6)(2) = -12$ ตัวเฉลยอาจมาจากความผิดพลาดของการพิมพ์โจทย์ต้นฉบับ วิเคราะห์ช้อยส์หลอก: ช้อยส์ที่ถูกต้องตามคณิตศาสตร์คือ E ($-12$) ช้อยส์อื่นๆ รวมถึงเฉลยเกิดจากการแทนค่าเงื่อนไขผิดช่วงหรือคิดเลขผิด"/>
    <x v="0"/>
    <x v="14"/>
    <x v="17"/>
    <x v="0"/>
    <n v="0.85"/>
    <n v="0.65"/>
    <s v="arithmetic_error"/>
    <s v="correct_answer"/>
    <s v="arithmetic_error"/>
    <s v="arithmetic_error"/>
    <s v="arithmetic_erro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BAD308-3109-49BF-9FD2-C956A449B32A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3" firstHeaderRow="1" firstDataRow="1" firstDataCol="3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0"/>
        <item x="11"/>
        <item x="3"/>
        <item x="14"/>
        <item x="6"/>
        <item x="7"/>
        <item x="8"/>
        <item x="9"/>
        <item x="4"/>
        <item x="1"/>
        <item x="10"/>
        <item x="5"/>
        <item x="2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4"/>
        <item x="0"/>
        <item x="17"/>
        <item x="10"/>
        <item x="22"/>
        <item x="7"/>
        <item x="23"/>
        <item x="9"/>
        <item x="14"/>
        <item x="21"/>
        <item x="2"/>
        <item x="11"/>
        <item x="6"/>
        <item x="8"/>
        <item x="5"/>
        <item x="16"/>
        <item x="12"/>
        <item x="20"/>
        <item x="1"/>
        <item x="19"/>
        <item x="3"/>
        <item x="13"/>
        <item x="15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9"/>
    <field x="10"/>
    <field x="11"/>
  </rowFields>
  <rowItems count="40">
    <i>
      <x/>
      <x v="2"/>
      <x v="5"/>
    </i>
    <i r="2">
      <x v="20"/>
    </i>
    <i r="1">
      <x v="5"/>
      <x v="12"/>
    </i>
    <i r="1">
      <x v="11"/>
      <x v="18"/>
    </i>
    <i>
      <x v="1"/>
      <x/>
      <x v="1"/>
    </i>
    <i r="1">
      <x v="1"/>
      <x v="17"/>
    </i>
    <i r="1">
      <x v="3"/>
      <x v="2"/>
    </i>
    <i r="2">
      <x v="17"/>
    </i>
    <i r="1">
      <x v="5"/>
      <x v="12"/>
    </i>
    <i r="1">
      <x v="7"/>
      <x v="4"/>
    </i>
    <i r="2">
      <x v="16"/>
    </i>
    <i r="2">
      <x v="18"/>
    </i>
    <i r="1">
      <x v="10"/>
      <x v="7"/>
    </i>
    <i r="2">
      <x v="19"/>
    </i>
    <i r="1">
      <x v="13"/>
      <x v="1"/>
    </i>
    <i r="1">
      <x v="14"/>
      <x v="9"/>
    </i>
    <i>
      <x v="2"/>
      <x v="6"/>
      <x v="2"/>
    </i>
    <i r="2">
      <x v="7"/>
    </i>
    <i r="2">
      <x v="13"/>
    </i>
    <i r="2">
      <x v="15"/>
    </i>
    <i r="2">
      <x v="18"/>
    </i>
    <i r="2">
      <x v="23"/>
    </i>
    <i r="1">
      <x v="9"/>
      <x/>
    </i>
    <i r="2">
      <x v="18"/>
    </i>
    <i>
      <x v="3"/>
      <x v="4"/>
      <x/>
    </i>
    <i r="2">
      <x v="6"/>
    </i>
    <i r="2">
      <x v="7"/>
    </i>
    <i r="2">
      <x v="10"/>
    </i>
    <i r="2">
      <x v="14"/>
    </i>
    <i r="1">
      <x v="8"/>
      <x/>
    </i>
    <i r="2">
      <x v="3"/>
    </i>
    <i r="2">
      <x v="10"/>
    </i>
    <i r="2">
      <x v="11"/>
    </i>
    <i r="2">
      <x v="16"/>
    </i>
    <i r="2">
      <x v="21"/>
    </i>
    <i r="2">
      <x v="22"/>
    </i>
    <i r="1">
      <x v="12"/>
      <x v="3"/>
    </i>
    <i r="2">
      <x v="8"/>
    </i>
    <i r="2">
      <x v="10"/>
    </i>
    <i t="grand">
      <x/>
    </i>
  </rowItems>
  <colItems count="1">
    <i/>
  </colItems>
  <dataFields count="1">
    <dataField name="Count of main_topic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06220-2C84-495D-811E-C50104B9BB00}">
  <dimension ref="A3:N43"/>
  <sheetViews>
    <sheetView topLeftCell="B1" workbookViewId="0">
      <selection activeCell="N42" sqref="N42"/>
    </sheetView>
  </sheetViews>
  <sheetFormatPr defaultRowHeight="12.75"/>
  <cols>
    <col min="1" max="1" width="30.7109375" bestFit="1" customWidth="1"/>
    <col min="2" max="2" width="19.42578125" bestFit="1" customWidth="1"/>
    <col min="3" max="3" width="23.7109375" bestFit="1" customWidth="1"/>
    <col min="4" max="4" width="19.42578125" bestFit="1" customWidth="1"/>
    <col min="6" max="6" width="18.7109375" bestFit="1" customWidth="1"/>
    <col min="7" max="7" width="22.5703125" bestFit="1" customWidth="1"/>
    <col min="8" max="8" width="23.7109375" bestFit="1" customWidth="1"/>
    <col min="9" max="9" width="17.7109375" bestFit="1" customWidth="1"/>
    <col min="11" max="11" width="18.7109375" bestFit="1" customWidth="1"/>
    <col min="12" max="12" width="22.5703125" bestFit="1" customWidth="1"/>
    <col min="13" max="13" width="23.7109375" bestFit="1" customWidth="1"/>
    <col min="14" max="14" width="17.7109375" bestFit="1" customWidth="1"/>
  </cols>
  <sheetData>
    <row r="3" spans="1:14">
      <c r="A3" s="22" t="s">
        <v>345</v>
      </c>
      <c r="B3" s="22" t="s">
        <v>8</v>
      </c>
      <c r="C3" s="22" t="s">
        <v>7</v>
      </c>
      <c r="D3" t="s">
        <v>647</v>
      </c>
      <c r="F3" t="s">
        <v>345</v>
      </c>
      <c r="G3" t="s">
        <v>8</v>
      </c>
      <c r="H3" t="s">
        <v>7</v>
      </c>
      <c r="I3" t="s">
        <v>647</v>
      </c>
      <c r="K3" t="s">
        <v>345</v>
      </c>
      <c r="L3" t="s">
        <v>8</v>
      </c>
      <c r="M3" t="s">
        <v>7</v>
      </c>
      <c r="N3" t="s">
        <v>647</v>
      </c>
    </row>
    <row r="4" spans="1:14">
      <c r="A4" t="s">
        <v>367</v>
      </c>
      <c r="B4" t="s">
        <v>239</v>
      </c>
      <c r="C4" t="s">
        <v>235</v>
      </c>
      <c r="D4" s="23">
        <v>1</v>
      </c>
      <c r="F4" t="s">
        <v>367</v>
      </c>
      <c r="G4" t="s">
        <v>239</v>
      </c>
      <c r="H4" t="s">
        <v>235</v>
      </c>
      <c r="I4">
        <v>1</v>
      </c>
      <c r="K4" t="s">
        <v>367</v>
      </c>
      <c r="L4" t="s">
        <v>367</v>
      </c>
      <c r="M4" t="s">
        <v>276</v>
      </c>
      <c r="N4">
        <v>3</v>
      </c>
    </row>
    <row r="5" spans="1:14">
      <c r="A5" t="s">
        <v>367</v>
      </c>
      <c r="B5" t="s">
        <v>239</v>
      </c>
      <c r="C5" t="s">
        <v>292</v>
      </c>
      <c r="D5" s="23">
        <v>16</v>
      </c>
      <c r="F5" t="s">
        <v>367</v>
      </c>
      <c r="G5" t="s">
        <v>239</v>
      </c>
      <c r="H5" t="s">
        <v>292</v>
      </c>
      <c r="I5">
        <v>16</v>
      </c>
      <c r="L5" t="s">
        <v>239</v>
      </c>
      <c r="M5" t="s">
        <v>235</v>
      </c>
      <c r="N5">
        <v>2</v>
      </c>
    </row>
    <row r="6" spans="1:14">
      <c r="A6" t="s">
        <v>367</v>
      </c>
      <c r="B6" t="s">
        <v>283</v>
      </c>
      <c r="C6" t="s">
        <v>289</v>
      </c>
      <c r="D6" s="23">
        <v>2</v>
      </c>
      <c r="F6" t="s">
        <v>367</v>
      </c>
      <c r="G6" t="s">
        <v>283</v>
      </c>
      <c r="H6" t="s">
        <v>289</v>
      </c>
      <c r="I6">
        <v>2</v>
      </c>
      <c r="M6" t="s">
        <v>292</v>
      </c>
      <c r="N6">
        <v>6</v>
      </c>
    </row>
    <row r="7" spans="1:14">
      <c r="A7" t="s">
        <v>367</v>
      </c>
      <c r="B7" t="s">
        <v>237</v>
      </c>
      <c r="C7" t="s">
        <v>250</v>
      </c>
      <c r="D7" s="23">
        <v>1</v>
      </c>
      <c r="F7" t="s">
        <v>367</v>
      </c>
      <c r="G7" t="s">
        <v>237</v>
      </c>
      <c r="H7" t="s">
        <v>250</v>
      </c>
      <c r="I7">
        <v>1</v>
      </c>
      <c r="L7" t="s">
        <v>283</v>
      </c>
      <c r="M7" t="s">
        <v>283</v>
      </c>
      <c r="N7">
        <v>1</v>
      </c>
    </row>
    <row r="8" spans="1:14">
      <c r="A8" t="s">
        <v>227</v>
      </c>
      <c r="B8" t="s">
        <v>282</v>
      </c>
      <c r="C8" t="s">
        <v>247</v>
      </c>
      <c r="D8" s="23">
        <v>4</v>
      </c>
      <c r="F8" t="s">
        <v>227</v>
      </c>
      <c r="G8" t="s">
        <v>282</v>
      </c>
      <c r="H8" t="s">
        <v>247</v>
      </c>
      <c r="I8">
        <v>4</v>
      </c>
      <c r="M8" t="s">
        <v>289</v>
      </c>
      <c r="N8">
        <v>3</v>
      </c>
    </row>
    <row r="9" spans="1:14">
      <c r="A9" t="s">
        <v>227</v>
      </c>
      <c r="B9" t="s">
        <v>367</v>
      </c>
      <c r="C9" t="s">
        <v>276</v>
      </c>
      <c r="D9" s="23">
        <v>1</v>
      </c>
      <c r="F9" t="s">
        <v>227</v>
      </c>
      <c r="G9" t="s">
        <v>367</v>
      </c>
      <c r="H9" t="s">
        <v>276</v>
      </c>
      <c r="I9">
        <v>1</v>
      </c>
      <c r="L9" t="s">
        <v>237</v>
      </c>
      <c r="M9" t="s">
        <v>289</v>
      </c>
      <c r="N9">
        <v>1</v>
      </c>
    </row>
    <row r="10" spans="1:14">
      <c r="A10" t="s">
        <v>227</v>
      </c>
      <c r="B10" t="s">
        <v>247</v>
      </c>
      <c r="C10" t="s">
        <v>265</v>
      </c>
      <c r="D10" s="23">
        <v>3</v>
      </c>
      <c r="F10" t="s">
        <v>227</v>
      </c>
      <c r="G10" t="s">
        <v>247</v>
      </c>
      <c r="H10" t="s">
        <v>265</v>
      </c>
      <c r="I10">
        <v>3</v>
      </c>
      <c r="M10" t="s">
        <v>250</v>
      </c>
      <c r="N10">
        <v>4</v>
      </c>
    </row>
    <row r="11" spans="1:14">
      <c r="A11" t="s">
        <v>227</v>
      </c>
      <c r="B11" t="s">
        <v>247</v>
      </c>
      <c r="C11" t="s">
        <v>276</v>
      </c>
      <c r="D11" s="23">
        <v>1</v>
      </c>
      <c r="F11" t="s">
        <v>227</v>
      </c>
      <c r="G11" t="s">
        <v>247</v>
      </c>
      <c r="H11" t="s">
        <v>276</v>
      </c>
      <c r="I11">
        <v>1</v>
      </c>
      <c r="K11" t="s">
        <v>227</v>
      </c>
      <c r="L11" t="s">
        <v>282</v>
      </c>
      <c r="M11" t="s">
        <v>249</v>
      </c>
      <c r="N11">
        <v>2</v>
      </c>
    </row>
    <row r="12" spans="1:14">
      <c r="A12" t="s">
        <v>227</v>
      </c>
      <c r="B12" t="s">
        <v>283</v>
      </c>
      <c r="C12" t="s">
        <v>289</v>
      </c>
      <c r="D12" s="23">
        <v>1</v>
      </c>
      <c r="F12" t="s">
        <v>227</v>
      </c>
      <c r="G12" t="s">
        <v>283</v>
      </c>
      <c r="H12" t="s">
        <v>289</v>
      </c>
      <c r="I12">
        <v>1</v>
      </c>
      <c r="M12" t="s">
        <v>246</v>
      </c>
      <c r="N12">
        <v>2</v>
      </c>
    </row>
    <row r="13" spans="1:14">
      <c r="A13" t="s">
        <v>227</v>
      </c>
      <c r="B13" t="s">
        <v>280</v>
      </c>
      <c r="C13" t="s">
        <v>283</v>
      </c>
      <c r="D13" s="23">
        <v>1</v>
      </c>
      <c r="F13" t="s">
        <v>227</v>
      </c>
      <c r="G13" t="s">
        <v>280</v>
      </c>
      <c r="H13" t="s">
        <v>283</v>
      </c>
      <c r="I13">
        <v>1</v>
      </c>
      <c r="L13" t="s">
        <v>247</v>
      </c>
      <c r="M13" t="s">
        <v>247</v>
      </c>
      <c r="N13">
        <v>5</v>
      </c>
    </row>
    <row r="14" spans="1:14">
      <c r="A14" t="s">
        <v>227</v>
      </c>
      <c r="B14" t="s">
        <v>280</v>
      </c>
      <c r="C14" t="s">
        <v>243</v>
      </c>
      <c r="D14" s="23">
        <v>2</v>
      </c>
      <c r="F14" t="s">
        <v>227</v>
      </c>
      <c r="G14" t="s">
        <v>280</v>
      </c>
      <c r="H14" t="s">
        <v>243</v>
      </c>
      <c r="I14">
        <v>2</v>
      </c>
      <c r="L14" t="s">
        <v>283</v>
      </c>
      <c r="M14" t="s">
        <v>289</v>
      </c>
      <c r="N14">
        <v>2</v>
      </c>
    </row>
    <row r="15" spans="1:14">
      <c r="A15" t="s">
        <v>227</v>
      </c>
      <c r="B15" t="s">
        <v>280</v>
      </c>
      <c r="C15" t="s">
        <v>250</v>
      </c>
      <c r="D15" s="23">
        <v>1</v>
      </c>
      <c r="F15" t="s">
        <v>227</v>
      </c>
      <c r="G15" t="s">
        <v>280</v>
      </c>
      <c r="H15" t="s">
        <v>250</v>
      </c>
      <c r="I15">
        <v>1</v>
      </c>
      <c r="L15" t="s">
        <v>280</v>
      </c>
      <c r="M15" t="s">
        <v>280</v>
      </c>
      <c r="N15">
        <v>1</v>
      </c>
    </row>
    <row r="16" spans="1:14">
      <c r="A16" t="s">
        <v>227</v>
      </c>
      <c r="B16" t="s">
        <v>266</v>
      </c>
      <c r="C16" t="s">
        <v>285</v>
      </c>
      <c r="D16" s="23">
        <v>3</v>
      </c>
      <c r="F16" t="s">
        <v>227</v>
      </c>
      <c r="G16" t="s">
        <v>266</v>
      </c>
      <c r="H16" t="s">
        <v>285</v>
      </c>
      <c r="I16">
        <v>3</v>
      </c>
      <c r="M16" t="s">
        <v>285</v>
      </c>
      <c r="N16">
        <v>1</v>
      </c>
    </row>
    <row r="17" spans="1:14">
      <c r="A17" t="s">
        <v>227</v>
      </c>
      <c r="B17" t="s">
        <v>266</v>
      </c>
      <c r="C17" t="s">
        <v>246</v>
      </c>
      <c r="D17" s="23">
        <v>1</v>
      </c>
      <c r="F17" t="s">
        <v>227</v>
      </c>
      <c r="G17" t="s">
        <v>266</v>
      </c>
      <c r="H17" t="s">
        <v>246</v>
      </c>
      <c r="I17">
        <v>1</v>
      </c>
      <c r="M17" t="s">
        <v>250</v>
      </c>
      <c r="N17">
        <v>1</v>
      </c>
    </row>
    <row r="18" spans="1:14">
      <c r="A18" t="s">
        <v>227</v>
      </c>
      <c r="B18" t="s">
        <v>245</v>
      </c>
      <c r="C18" t="s">
        <v>247</v>
      </c>
      <c r="D18" s="23">
        <v>1</v>
      </c>
      <c r="F18" t="s">
        <v>227</v>
      </c>
      <c r="G18" t="s">
        <v>245</v>
      </c>
      <c r="H18" t="s">
        <v>247</v>
      </c>
      <c r="I18">
        <v>1</v>
      </c>
      <c r="L18" t="s">
        <v>266</v>
      </c>
      <c r="M18" t="s">
        <v>285</v>
      </c>
      <c r="N18">
        <v>1</v>
      </c>
    </row>
    <row r="19" spans="1:14">
      <c r="A19" t="s">
        <v>227</v>
      </c>
      <c r="B19" t="s">
        <v>288</v>
      </c>
      <c r="C19" t="s">
        <v>249</v>
      </c>
      <c r="D19" s="23">
        <v>1</v>
      </c>
      <c r="F19" t="s">
        <v>227</v>
      </c>
      <c r="G19" t="s">
        <v>288</v>
      </c>
      <c r="H19" t="s">
        <v>249</v>
      </c>
      <c r="I19">
        <v>1</v>
      </c>
      <c r="L19" t="s">
        <v>245</v>
      </c>
      <c r="M19" t="s">
        <v>247</v>
      </c>
      <c r="N19">
        <v>2</v>
      </c>
    </row>
    <row r="20" spans="1:14">
      <c r="A20" t="s">
        <v>228</v>
      </c>
      <c r="B20" t="s">
        <v>235</v>
      </c>
      <c r="C20" t="s">
        <v>265</v>
      </c>
      <c r="D20" s="23">
        <v>2</v>
      </c>
      <c r="F20" t="s">
        <v>228</v>
      </c>
      <c r="G20" t="s">
        <v>235</v>
      </c>
      <c r="H20" t="s">
        <v>265</v>
      </c>
      <c r="I20">
        <v>2</v>
      </c>
      <c r="M20" t="s">
        <v>249</v>
      </c>
      <c r="N20">
        <v>1</v>
      </c>
    </row>
    <row r="21" spans="1:14">
      <c r="A21" t="s">
        <v>228</v>
      </c>
      <c r="B21" t="s">
        <v>235</v>
      </c>
      <c r="C21" t="s">
        <v>285</v>
      </c>
      <c r="D21" s="23">
        <v>1</v>
      </c>
      <c r="F21" t="s">
        <v>228</v>
      </c>
      <c r="G21" t="s">
        <v>235</v>
      </c>
      <c r="H21" t="s">
        <v>285</v>
      </c>
      <c r="I21">
        <v>1</v>
      </c>
      <c r="L21" t="s">
        <v>288</v>
      </c>
      <c r="M21" t="s">
        <v>249</v>
      </c>
      <c r="N21">
        <v>1</v>
      </c>
    </row>
    <row r="22" spans="1:14">
      <c r="A22" t="s">
        <v>228</v>
      </c>
      <c r="B22" t="s">
        <v>235</v>
      </c>
      <c r="C22" t="s">
        <v>254</v>
      </c>
      <c r="D22" s="23">
        <v>2</v>
      </c>
      <c r="F22" t="s">
        <v>228</v>
      </c>
      <c r="G22" t="s">
        <v>235</v>
      </c>
      <c r="H22" t="s">
        <v>254</v>
      </c>
      <c r="I22">
        <v>2</v>
      </c>
      <c r="M22" t="s">
        <v>250</v>
      </c>
      <c r="N22">
        <v>1</v>
      </c>
    </row>
    <row r="23" spans="1:14">
      <c r="A23" t="s">
        <v>228</v>
      </c>
      <c r="B23" t="s">
        <v>235</v>
      </c>
      <c r="C23" t="s">
        <v>236</v>
      </c>
      <c r="D23" s="23">
        <v>1</v>
      </c>
      <c r="F23" t="s">
        <v>228</v>
      </c>
      <c r="G23" t="s">
        <v>235</v>
      </c>
      <c r="H23" t="s">
        <v>236</v>
      </c>
      <c r="I23">
        <v>1</v>
      </c>
      <c r="K23" t="s">
        <v>228</v>
      </c>
      <c r="L23" t="s">
        <v>235</v>
      </c>
      <c r="M23" t="s">
        <v>235</v>
      </c>
      <c r="N23">
        <v>1</v>
      </c>
    </row>
    <row r="24" spans="1:14">
      <c r="A24" t="s">
        <v>228</v>
      </c>
      <c r="B24" t="s">
        <v>235</v>
      </c>
      <c r="C24" t="s">
        <v>250</v>
      </c>
      <c r="D24" s="23">
        <v>1</v>
      </c>
      <c r="F24" t="s">
        <v>228</v>
      </c>
      <c r="G24" t="s">
        <v>235</v>
      </c>
      <c r="H24" t="s">
        <v>250</v>
      </c>
      <c r="I24">
        <v>1</v>
      </c>
      <c r="M24" t="s">
        <v>254</v>
      </c>
      <c r="N24">
        <v>6</v>
      </c>
    </row>
    <row r="25" spans="1:14">
      <c r="A25" t="s">
        <v>228</v>
      </c>
      <c r="B25" t="s">
        <v>235</v>
      </c>
      <c r="C25" t="s">
        <v>251</v>
      </c>
      <c r="D25" s="23">
        <v>1</v>
      </c>
      <c r="F25" t="s">
        <v>228</v>
      </c>
      <c r="G25" t="s">
        <v>235</v>
      </c>
      <c r="H25" t="s">
        <v>251</v>
      </c>
      <c r="I25">
        <v>1</v>
      </c>
      <c r="M25" t="s">
        <v>236</v>
      </c>
      <c r="N25">
        <v>2</v>
      </c>
    </row>
    <row r="26" spans="1:14">
      <c r="A26" t="s">
        <v>228</v>
      </c>
      <c r="B26" t="s">
        <v>234</v>
      </c>
      <c r="C26" t="s">
        <v>262</v>
      </c>
      <c r="D26" s="23">
        <v>1</v>
      </c>
      <c r="F26" t="s">
        <v>228</v>
      </c>
      <c r="G26" t="s">
        <v>234</v>
      </c>
      <c r="H26" t="s">
        <v>262</v>
      </c>
      <c r="I26">
        <v>1</v>
      </c>
      <c r="M26" t="s">
        <v>251</v>
      </c>
      <c r="N26">
        <v>1</v>
      </c>
    </row>
    <row r="27" spans="1:14">
      <c r="A27" t="s">
        <v>228</v>
      </c>
      <c r="B27" t="s">
        <v>234</v>
      </c>
      <c r="C27" t="s">
        <v>250</v>
      </c>
      <c r="D27" s="23">
        <v>7</v>
      </c>
      <c r="F27" t="s">
        <v>228</v>
      </c>
      <c r="G27" t="s">
        <v>234</v>
      </c>
      <c r="H27" t="s">
        <v>250</v>
      </c>
      <c r="I27">
        <v>7</v>
      </c>
      <c r="L27" t="s">
        <v>234</v>
      </c>
      <c r="M27" t="s">
        <v>262</v>
      </c>
      <c r="N27">
        <v>1</v>
      </c>
    </row>
    <row r="28" spans="1:14">
      <c r="A28" t="s">
        <v>226</v>
      </c>
      <c r="B28" t="s">
        <v>232</v>
      </c>
      <c r="C28" t="s">
        <v>262</v>
      </c>
      <c r="D28" s="23">
        <v>1</v>
      </c>
      <c r="F28" t="s">
        <v>226</v>
      </c>
      <c r="G28" t="s">
        <v>232</v>
      </c>
      <c r="H28" t="s">
        <v>262</v>
      </c>
      <c r="I28">
        <v>1</v>
      </c>
      <c r="M28" t="s">
        <v>236</v>
      </c>
      <c r="N28">
        <v>2</v>
      </c>
    </row>
    <row r="29" spans="1:14">
      <c r="A29" t="s">
        <v>226</v>
      </c>
      <c r="B29" t="s">
        <v>232</v>
      </c>
      <c r="C29" t="s">
        <v>280</v>
      </c>
      <c r="D29" s="23">
        <v>1</v>
      </c>
      <c r="F29" t="s">
        <v>226</v>
      </c>
      <c r="G29" t="s">
        <v>232</v>
      </c>
      <c r="H29" t="s">
        <v>280</v>
      </c>
      <c r="I29">
        <v>1</v>
      </c>
      <c r="M29" t="s">
        <v>250</v>
      </c>
      <c r="N29">
        <v>2</v>
      </c>
    </row>
    <row r="30" spans="1:14">
      <c r="A30" t="s">
        <v>226</v>
      </c>
      <c r="B30" t="s">
        <v>232</v>
      </c>
      <c r="C30" t="s">
        <v>285</v>
      </c>
      <c r="D30" s="23">
        <v>3</v>
      </c>
      <c r="F30" t="s">
        <v>226</v>
      </c>
      <c r="G30" t="s">
        <v>232</v>
      </c>
      <c r="H30" t="s">
        <v>285</v>
      </c>
      <c r="I30">
        <v>3</v>
      </c>
      <c r="M30" t="s">
        <v>251</v>
      </c>
      <c r="N30">
        <v>5</v>
      </c>
    </row>
    <row r="31" spans="1:14">
      <c r="A31" t="s">
        <v>226</v>
      </c>
      <c r="B31" t="s">
        <v>232</v>
      </c>
      <c r="C31" t="s">
        <v>241</v>
      </c>
      <c r="D31" s="23">
        <v>1</v>
      </c>
      <c r="F31" t="s">
        <v>226</v>
      </c>
      <c r="G31" t="s">
        <v>232</v>
      </c>
      <c r="H31" t="s">
        <v>241</v>
      </c>
      <c r="I31">
        <v>1</v>
      </c>
      <c r="K31" t="s">
        <v>226</v>
      </c>
      <c r="L31" t="s">
        <v>232</v>
      </c>
      <c r="M31" t="s">
        <v>262</v>
      </c>
      <c r="N31">
        <v>1</v>
      </c>
    </row>
    <row r="32" spans="1:14">
      <c r="A32" t="s">
        <v>226</v>
      </c>
      <c r="B32" t="s">
        <v>232</v>
      </c>
      <c r="C32" t="s">
        <v>234</v>
      </c>
      <c r="D32" s="23">
        <v>1</v>
      </c>
      <c r="F32" t="s">
        <v>226</v>
      </c>
      <c r="G32" t="s">
        <v>232</v>
      </c>
      <c r="H32" t="s">
        <v>234</v>
      </c>
      <c r="I32">
        <v>1</v>
      </c>
      <c r="M32" t="s">
        <v>285</v>
      </c>
      <c r="N32">
        <v>1</v>
      </c>
    </row>
    <row r="33" spans="1:14">
      <c r="A33" t="s">
        <v>226</v>
      </c>
      <c r="B33" t="s">
        <v>230</v>
      </c>
      <c r="C33" t="s">
        <v>262</v>
      </c>
      <c r="D33" s="23">
        <v>2</v>
      </c>
      <c r="F33" t="s">
        <v>226</v>
      </c>
      <c r="G33" t="s">
        <v>230</v>
      </c>
      <c r="H33" t="s">
        <v>262</v>
      </c>
      <c r="I33">
        <v>2</v>
      </c>
      <c r="M33" t="s">
        <v>241</v>
      </c>
      <c r="N33">
        <v>1</v>
      </c>
    </row>
    <row r="34" spans="1:14">
      <c r="A34" t="s">
        <v>226</v>
      </c>
      <c r="B34" t="s">
        <v>230</v>
      </c>
      <c r="C34" t="s">
        <v>242</v>
      </c>
      <c r="D34" s="23">
        <v>2</v>
      </c>
      <c r="F34" t="s">
        <v>226</v>
      </c>
      <c r="G34" t="s">
        <v>230</v>
      </c>
      <c r="H34" t="s">
        <v>242</v>
      </c>
      <c r="I34">
        <v>2</v>
      </c>
      <c r="L34" t="s">
        <v>230</v>
      </c>
      <c r="M34" t="s">
        <v>262</v>
      </c>
      <c r="N34">
        <v>1</v>
      </c>
    </row>
    <row r="35" spans="1:14">
      <c r="A35" t="s">
        <v>226</v>
      </c>
      <c r="B35" t="s">
        <v>230</v>
      </c>
      <c r="C35" t="s">
        <v>241</v>
      </c>
      <c r="D35" s="23">
        <v>3</v>
      </c>
      <c r="F35" t="s">
        <v>226</v>
      </c>
      <c r="G35" t="s">
        <v>230</v>
      </c>
      <c r="H35" t="s">
        <v>241</v>
      </c>
      <c r="I35">
        <v>3</v>
      </c>
      <c r="M35" t="s">
        <v>242</v>
      </c>
      <c r="N35">
        <v>1</v>
      </c>
    </row>
    <row r="36" spans="1:14">
      <c r="A36" t="s">
        <v>226</v>
      </c>
      <c r="B36" t="s">
        <v>230</v>
      </c>
      <c r="C36" t="s">
        <v>267</v>
      </c>
      <c r="D36" s="23">
        <v>2</v>
      </c>
      <c r="F36" t="s">
        <v>226</v>
      </c>
      <c r="G36" t="s">
        <v>230</v>
      </c>
      <c r="H36" t="s">
        <v>267</v>
      </c>
      <c r="I36">
        <v>2</v>
      </c>
      <c r="M36" t="s">
        <v>241</v>
      </c>
      <c r="N36">
        <v>4</v>
      </c>
    </row>
    <row r="37" spans="1:14">
      <c r="A37" t="s">
        <v>226</v>
      </c>
      <c r="B37" t="s">
        <v>230</v>
      </c>
      <c r="C37" t="s">
        <v>243</v>
      </c>
      <c r="D37" s="23">
        <v>3</v>
      </c>
      <c r="F37" t="s">
        <v>226</v>
      </c>
      <c r="G37" t="s">
        <v>230</v>
      </c>
      <c r="H37" t="s">
        <v>243</v>
      </c>
      <c r="I37">
        <v>3</v>
      </c>
      <c r="M37" t="s">
        <v>267</v>
      </c>
      <c r="N37">
        <v>1</v>
      </c>
    </row>
    <row r="38" spans="1:14">
      <c r="A38" t="s">
        <v>226</v>
      </c>
      <c r="B38" t="s">
        <v>230</v>
      </c>
      <c r="C38" t="s">
        <v>287</v>
      </c>
      <c r="D38" s="23">
        <v>1</v>
      </c>
      <c r="F38" t="s">
        <v>226</v>
      </c>
      <c r="G38" t="s">
        <v>230</v>
      </c>
      <c r="H38" t="s">
        <v>287</v>
      </c>
      <c r="I38">
        <v>1</v>
      </c>
      <c r="M38" t="s">
        <v>243</v>
      </c>
      <c r="N38">
        <v>2</v>
      </c>
    </row>
    <row r="39" spans="1:14">
      <c r="A39" t="s">
        <v>226</v>
      </c>
      <c r="B39" t="s">
        <v>230</v>
      </c>
      <c r="C39" t="s">
        <v>270</v>
      </c>
      <c r="D39" s="23">
        <v>1</v>
      </c>
      <c r="F39" t="s">
        <v>226</v>
      </c>
      <c r="G39" t="s">
        <v>230</v>
      </c>
      <c r="H39" t="s">
        <v>270</v>
      </c>
      <c r="I39">
        <v>1</v>
      </c>
      <c r="M39" t="s">
        <v>287</v>
      </c>
      <c r="N39">
        <v>4</v>
      </c>
    </row>
    <row r="40" spans="1:14">
      <c r="A40" t="s">
        <v>226</v>
      </c>
      <c r="B40" t="s">
        <v>231</v>
      </c>
      <c r="C40" t="s">
        <v>242</v>
      </c>
      <c r="D40" s="23">
        <v>1</v>
      </c>
      <c r="F40" t="s">
        <v>226</v>
      </c>
      <c r="G40" t="s">
        <v>231</v>
      </c>
      <c r="H40" t="s">
        <v>242</v>
      </c>
      <c r="I40">
        <v>1</v>
      </c>
      <c r="L40" t="s">
        <v>231</v>
      </c>
      <c r="M40" t="s">
        <v>262</v>
      </c>
      <c r="N40">
        <v>1</v>
      </c>
    </row>
    <row r="41" spans="1:14">
      <c r="A41" t="s">
        <v>226</v>
      </c>
      <c r="B41" t="s">
        <v>231</v>
      </c>
      <c r="C41" t="s">
        <v>230</v>
      </c>
      <c r="D41" s="23">
        <v>1</v>
      </c>
      <c r="F41" t="s">
        <v>226</v>
      </c>
      <c r="G41" t="s">
        <v>231</v>
      </c>
      <c r="H41" t="s">
        <v>230</v>
      </c>
      <c r="I41">
        <v>1</v>
      </c>
      <c r="M41" t="s">
        <v>242</v>
      </c>
      <c r="N41">
        <v>1</v>
      </c>
    </row>
    <row r="42" spans="1:14">
      <c r="A42" t="s">
        <v>226</v>
      </c>
      <c r="B42" t="s">
        <v>231</v>
      </c>
      <c r="C42" t="s">
        <v>241</v>
      </c>
      <c r="D42" s="23">
        <v>1</v>
      </c>
      <c r="F42" t="s">
        <v>226</v>
      </c>
      <c r="G42" t="s">
        <v>231</v>
      </c>
      <c r="H42" t="s">
        <v>241</v>
      </c>
      <c r="I42">
        <v>1</v>
      </c>
      <c r="M42" t="s">
        <v>241</v>
      </c>
      <c r="N42">
        <v>2</v>
      </c>
    </row>
    <row r="43" spans="1:14">
      <c r="A43" t="s">
        <v>646</v>
      </c>
      <c r="D43" s="23">
        <v>80</v>
      </c>
      <c r="F43" t="s">
        <v>646</v>
      </c>
      <c r="I43">
        <v>80</v>
      </c>
      <c r="K43" t="s">
        <v>646</v>
      </c>
      <c r="N43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83"/>
  <sheetViews>
    <sheetView tabSelected="1" workbookViewId="0">
      <selection activeCell="A15" sqref="A15"/>
    </sheetView>
  </sheetViews>
  <sheetFormatPr defaultColWidth="12.5703125" defaultRowHeight="15.75" customHeight="1"/>
  <cols>
    <col min="1" max="1" width="12.5703125" style="8"/>
    <col min="2" max="2" width="129.42578125" style="8" customWidth="1"/>
    <col min="3" max="3" width="16" style="8" bestFit="1" customWidth="1"/>
    <col min="4" max="4" width="15.85546875" style="8" customWidth="1"/>
    <col min="5" max="5" width="16.42578125" style="8" customWidth="1"/>
    <col min="6" max="6" width="16.85546875" style="8" customWidth="1"/>
    <col min="7" max="7" width="15.42578125" style="8" customWidth="1"/>
    <col min="8" max="8" width="12.5703125" style="8"/>
    <col min="9" max="9" width="255.5703125" bestFit="1" customWidth="1"/>
    <col min="10" max="10" width="23.42578125" style="8" bestFit="1" customWidth="1"/>
    <col min="11" max="15" width="12.5703125" style="8"/>
    <col min="16" max="16" width="15" style="8" customWidth="1"/>
    <col min="17" max="17" width="16" style="8" customWidth="1"/>
    <col min="18" max="18" width="15.85546875" style="8" customWidth="1"/>
    <col min="19" max="19" width="15.7109375" style="8" customWidth="1"/>
    <col min="20" max="20" width="15.5703125" style="8" customWidth="1"/>
  </cols>
  <sheetData>
    <row r="1" spans="1:20" ht="12.75">
      <c r="A1" s="12" t="s">
        <v>28</v>
      </c>
      <c r="B1" s="1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13" t="s">
        <v>6</v>
      </c>
      <c r="I1" s="1" t="s">
        <v>346</v>
      </c>
      <c r="J1" s="1" t="s">
        <v>345</v>
      </c>
      <c r="K1" s="1" t="s">
        <v>8</v>
      </c>
      <c r="L1" s="1" t="s">
        <v>7</v>
      </c>
      <c r="M1" s="14" t="s">
        <v>9</v>
      </c>
      <c r="N1" s="14" t="s">
        <v>10</v>
      </c>
      <c r="O1" s="14" t="s">
        <v>11</v>
      </c>
      <c r="P1" s="1" t="s">
        <v>425</v>
      </c>
      <c r="Q1" s="1" t="s">
        <v>426</v>
      </c>
      <c r="R1" s="1" t="s">
        <v>427</v>
      </c>
      <c r="S1" s="1" t="s">
        <v>428</v>
      </c>
      <c r="T1" s="1" t="s">
        <v>429</v>
      </c>
    </row>
    <row r="2" spans="1:20" ht="12.75">
      <c r="A2">
        <v>1</v>
      </c>
      <c r="B2" t="s">
        <v>430</v>
      </c>
      <c r="C2" t="s">
        <v>17</v>
      </c>
      <c r="D2" s="4">
        <v>1</v>
      </c>
      <c r="E2" s="4">
        <v>2</v>
      </c>
      <c r="F2" s="4">
        <v>3</v>
      </c>
      <c r="G2" s="4">
        <v>4</v>
      </c>
      <c r="H2" s="4">
        <v>6</v>
      </c>
      <c r="I2" t="s">
        <v>431</v>
      </c>
      <c r="J2" t="s">
        <v>227</v>
      </c>
      <c r="K2" t="s">
        <v>282</v>
      </c>
      <c r="L2" t="s">
        <v>247</v>
      </c>
      <c r="M2" s="4" t="s">
        <v>303</v>
      </c>
      <c r="N2" s="4">
        <v>0.7</v>
      </c>
      <c r="O2" s="4">
        <v>0.5</v>
      </c>
      <c r="P2" t="s">
        <v>194</v>
      </c>
      <c r="Q2" t="s">
        <v>1</v>
      </c>
      <c r="R2" t="s">
        <v>278</v>
      </c>
      <c r="S2" t="s">
        <v>194</v>
      </c>
      <c r="T2" t="s">
        <v>194</v>
      </c>
    </row>
    <row r="3" spans="1:20" ht="12.75">
      <c r="A3">
        <v>2</v>
      </c>
      <c r="B3" t="s">
        <v>432</v>
      </c>
      <c r="C3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t="s">
        <v>433</v>
      </c>
      <c r="J3" t="s">
        <v>228</v>
      </c>
      <c r="K3" t="s">
        <v>234</v>
      </c>
      <c r="L3" t="s">
        <v>250</v>
      </c>
      <c r="M3" s="4" t="s">
        <v>304</v>
      </c>
      <c r="N3" s="4">
        <v>0.2</v>
      </c>
      <c r="O3" s="4">
        <v>0.3</v>
      </c>
      <c r="P3" t="s">
        <v>1</v>
      </c>
      <c r="Q3" t="s">
        <v>299</v>
      </c>
      <c r="R3" t="s">
        <v>297</v>
      </c>
      <c r="S3" t="s">
        <v>259</v>
      </c>
      <c r="T3" t="s">
        <v>259</v>
      </c>
    </row>
    <row r="4" spans="1:20" ht="12.75">
      <c r="A4">
        <v>3</v>
      </c>
      <c r="B4" t="s">
        <v>357</v>
      </c>
      <c r="C4" t="s">
        <v>17</v>
      </c>
      <c r="D4" s="3">
        <v>0</v>
      </c>
      <c r="E4" s="4" t="s">
        <v>311</v>
      </c>
      <c r="F4" s="4">
        <v>1</v>
      </c>
      <c r="G4" s="15" t="s">
        <v>42</v>
      </c>
      <c r="H4" s="4">
        <v>5</v>
      </c>
      <c r="I4" t="s">
        <v>434</v>
      </c>
      <c r="J4" t="s">
        <v>226</v>
      </c>
      <c r="K4" t="s">
        <v>231</v>
      </c>
      <c r="L4" t="s">
        <v>241</v>
      </c>
      <c r="M4" s="4" t="s">
        <v>304</v>
      </c>
      <c r="N4" s="4">
        <v>0.4</v>
      </c>
      <c r="O4" s="4">
        <v>0.4</v>
      </c>
      <c r="P4" t="s">
        <v>278</v>
      </c>
      <c r="Q4" t="s">
        <v>1</v>
      </c>
      <c r="R4" t="s">
        <v>194</v>
      </c>
      <c r="S4" t="s">
        <v>278</v>
      </c>
      <c r="T4" t="s">
        <v>293</v>
      </c>
    </row>
    <row r="5" spans="1:20" ht="12.75">
      <c r="A5">
        <v>4</v>
      </c>
      <c r="B5" t="s">
        <v>360</v>
      </c>
      <c r="C5" t="s">
        <v>31</v>
      </c>
      <c r="D5" s="3">
        <v>1</v>
      </c>
      <c r="E5" s="4">
        <v>2</v>
      </c>
      <c r="F5" s="4">
        <v>4</v>
      </c>
      <c r="G5" s="4">
        <v>5</v>
      </c>
      <c r="H5" s="4">
        <v>8</v>
      </c>
      <c r="I5" t="s">
        <v>435</v>
      </c>
      <c r="J5" t="s">
        <v>227</v>
      </c>
      <c r="K5" t="s">
        <v>282</v>
      </c>
      <c r="L5" t="s">
        <v>247</v>
      </c>
      <c r="M5" s="4" t="s">
        <v>303</v>
      </c>
      <c r="N5" s="4">
        <v>0.75</v>
      </c>
      <c r="O5" s="4">
        <v>0.6</v>
      </c>
      <c r="P5" t="s">
        <v>278</v>
      </c>
      <c r="Q5" t="s">
        <v>271</v>
      </c>
      <c r="R5" t="s">
        <v>1</v>
      </c>
      <c r="S5" t="s">
        <v>194</v>
      </c>
      <c r="T5" t="s">
        <v>194</v>
      </c>
    </row>
    <row r="6" spans="1:20" ht="12.75">
      <c r="A6">
        <v>5</v>
      </c>
      <c r="B6" t="s">
        <v>436</v>
      </c>
      <c r="C6" t="s">
        <v>44</v>
      </c>
      <c r="D6" s="3">
        <v>24</v>
      </c>
      <c r="E6" s="4">
        <v>32</v>
      </c>
      <c r="F6" s="4">
        <v>36</v>
      </c>
      <c r="G6" s="4">
        <v>48</v>
      </c>
      <c r="H6" s="4">
        <v>54</v>
      </c>
      <c r="I6" t="s">
        <v>437</v>
      </c>
      <c r="J6" t="s">
        <v>367</v>
      </c>
      <c r="K6" t="s">
        <v>239</v>
      </c>
      <c r="L6" t="s">
        <v>292</v>
      </c>
      <c r="M6" s="4" t="s">
        <v>306</v>
      </c>
      <c r="N6" s="4">
        <v>0.85</v>
      </c>
      <c r="O6" s="4">
        <v>0.65</v>
      </c>
      <c r="P6" t="s">
        <v>194</v>
      </c>
      <c r="Q6" t="s">
        <v>194</v>
      </c>
      <c r="R6" t="s">
        <v>278</v>
      </c>
      <c r="S6" t="s">
        <v>1</v>
      </c>
      <c r="T6" t="s">
        <v>194</v>
      </c>
    </row>
    <row r="7" spans="1:20" ht="12.75">
      <c r="A7">
        <v>6</v>
      </c>
      <c r="B7" t="s">
        <v>438</v>
      </c>
      <c r="C7" t="s">
        <v>31</v>
      </c>
      <c r="D7" s="4" t="s">
        <v>310</v>
      </c>
      <c r="E7" s="4" t="s">
        <v>316</v>
      </c>
      <c r="F7" s="4" t="s">
        <v>18</v>
      </c>
      <c r="G7" s="4" t="s">
        <v>332</v>
      </c>
      <c r="H7" s="4" t="s">
        <v>19</v>
      </c>
      <c r="I7" t="s">
        <v>439</v>
      </c>
      <c r="J7" t="s">
        <v>367</v>
      </c>
      <c r="K7" t="s">
        <v>239</v>
      </c>
      <c r="L7" t="s">
        <v>292</v>
      </c>
      <c r="M7" s="4" t="s">
        <v>303</v>
      </c>
      <c r="N7" s="4">
        <v>0.65</v>
      </c>
      <c r="O7" s="4">
        <v>0.55000000000000004</v>
      </c>
      <c r="P7" t="s">
        <v>194</v>
      </c>
      <c r="Q7" t="s">
        <v>194</v>
      </c>
      <c r="R7" t="s">
        <v>1</v>
      </c>
      <c r="S7" t="s">
        <v>194</v>
      </c>
      <c r="T7" t="s">
        <v>300</v>
      </c>
    </row>
    <row r="8" spans="1:20" ht="12.75">
      <c r="A8">
        <v>7</v>
      </c>
      <c r="B8" t="s">
        <v>440</v>
      </c>
      <c r="C8" t="s">
        <v>20</v>
      </c>
      <c r="D8" s="4">
        <v>0</v>
      </c>
      <c r="E8" s="4">
        <v>0.5</v>
      </c>
      <c r="F8" s="4">
        <v>1</v>
      </c>
      <c r="G8" s="4">
        <v>2</v>
      </c>
      <c r="H8" s="4">
        <v>4</v>
      </c>
      <c r="I8" t="s">
        <v>441</v>
      </c>
      <c r="J8" t="s">
        <v>226</v>
      </c>
      <c r="K8" t="s">
        <v>230</v>
      </c>
      <c r="L8" t="s">
        <v>241</v>
      </c>
      <c r="M8" s="4" t="s">
        <v>303</v>
      </c>
      <c r="N8" s="4">
        <v>0.7</v>
      </c>
      <c r="O8" s="4">
        <v>0.5</v>
      </c>
      <c r="P8" t="s">
        <v>1</v>
      </c>
      <c r="Q8" t="s">
        <v>194</v>
      </c>
      <c r="R8" t="s">
        <v>278</v>
      </c>
      <c r="S8" t="s">
        <v>194</v>
      </c>
      <c r="T8" t="s">
        <v>194</v>
      </c>
    </row>
    <row r="9" spans="1:20" ht="12.75">
      <c r="A9">
        <v>8</v>
      </c>
      <c r="B9" t="s">
        <v>442</v>
      </c>
      <c r="C9" t="s">
        <v>17</v>
      </c>
      <c r="D9" s="4">
        <v>-1</v>
      </c>
      <c r="E9" s="4">
        <v>0</v>
      </c>
      <c r="F9" s="4">
        <v>1</v>
      </c>
      <c r="G9" s="4">
        <v>2</v>
      </c>
      <c r="H9" s="4">
        <v>3</v>
      </c>
      <c r="I9" t="s">
        <v>443</v>
      </c>
      <c r="J9" t="s">
        <v>228</v>
      </c>
      <c r="K9" t="s">
        <v>234</v>
      </c>
      <c r="L9" t="s">
        <v>250</v>
      </c>
      <c r="M9" s="4" t="s">
        <v>303</v>
      </c>
      <c r="N9" s="4">
        <v>0.6</v>
      </c>
      <c r="O9" s="4">
        <v>0.45</v>
      </c>
      <c r="P9" t="s">
        <v>277</v>
      </c>
      <c r="Q9" t="s">
        <v>1</v>
      </c>
      <c r="R9" t="s">
        <v>277</v>
      </c>
      <c r="S9" t="s">
        <v>277</v>
      </c>
      <c r="T9" t="s">
        <v>277</v>
      </c>
    </row>
    <row r="10" spans="1:20" ht="14.25">
      <c r="A10">
        <v>9</v>
      </c>
      <c r="B10" t="s">
        <v>444</v>
      </c>
      <c r="C10" t="s">
        <v>31</v>
      </c>
      <c r="D10" s="5" t="s">
        <v>57</v>
      </c>
      <c r="E10" s="16" t="s">
        <v>58</v>
      </c>
      <c r="F10" s="16" t="s">
        <v>325</v>
      </c>
      <c r="G10" s="16" t="s">
        <v>59</v>
      </c>
      <c r="H10" s="16" t="s">
        <v>340</v>
      </c>
      <c r="I10" t="s">
        <v>445</v>
      </c>
      <c r="J10" t="s">
        <v>367</v>
      </c>
      <c r="K10" t="s">
        <v>237</v>
      </c>
      <c r="L10" t="s">
        <v>250</v>
      </c>
      <c r="M10" s="16" t="s">
        <v>303</v>
      </c>
      <c r="N10" s="4">
        <v>0.8</v>
      </c>
      <c r="O10" s="17">
        <v>0.6</v>
      </c>
      <c r="P10" t="s">
        <v>277</v>
      </c>
      <c r="Q10" t="s">
        <v>278</v>
      </c>
      <c r="R10" t="s">
        <v>1</v>
      </c>
      <c r="S10" t="s">
        <v>277</v>
      </c>
      <c r="T10" t="s">
        <v>277</v>
      </c>
    </row>
    <row r="11" spans="1:20" ht="14.25">
      <c r="A11">
        <v>10</v>
      </c>
      <c r="B11" t="s">
        <v>446</v>
      </c>
      <c r="C11" t="s">
        <v>31</v>
      </c>
      <c r="D11" s="5" t="s">
        <v>310</v>
      </c>
      <c r="E11" s="16" t="s">
        <v>316</v>
      </c>
      <c r="F11" s="16" t="s">
        <v>61</v>
      </c>
      <c r="G11" s="16" t="s">
        <v>332</v>
      </c>
      <c r="H11" s="16" t="s">
        <v>62</v>
      </c>
      <c r="I11" t="s">
        <v>447</v>
      </c>
      <c r="J11" t="s">
        <v>367</v>
      </c>
      <c r="K11" t="s">
        <v>239</v>
      </c>
      <c r="L11" t="s">
        <v>292</v>
      </c>
      <c r="M11" s="16" t="s">
        <v>304</v>
      </c>
      <c r="N11" s="4">
        <v>0.5</v>
      </c>
      <c r="O11" s="17">
        <v>0.4</v>
      </c>
      <c r="P11" t="s">
        <v>194</v>
      </c>
      <c r="Q11" t="s">
        <v>194</v>
      </c>
      <c r="R11" t="s">
        <v>1</v>
      </c>
      <c r="S11" t="s">
        <v>194</v>
      </c>
      <c r="T11" t="s">
        <v>300</v>
      </c>
    </row>
    <row r="12" spans="1:20" ht="14.25">
      <c r="A12">
        <v>11</v>
      </c>
      <c r="B12" t="s">
        <v>515</v>
      </c>
      <c r="C12" t="s">
        <v>31</v>
      </c>
      <c r="D12" s="5" t="s">
        <v>63</v>
      </c>
      <c r="E12" s="16" t="s">
        <v>64</v>
      </c>
      <c r="F12" s="16" t="s">
        <v>65</v>
      </c>
      <c r="G12" s="16" t="s">
        <v>66</v>
      </c>
      <c r="H12" s="16" t="s">
        <v>67</v>
      </c>
      <c r="I12" t="s">
        <v>516</v>
      </c>
      <c r="J12" t="s">
        <v>367</v>
      </c>
      <c r="K12" t="s">
        <v>239</v>
      </c>
      <c r="L12" t="s">
        <v>292</v>
      </c>
      <c r="M12" s="16" t="s">
        <v>303</v>
      </c>
      <c r="N12" s="4">
        <v>0.85</v>
      </c>
      <c r="O12" s="17">
        <v>0.65</v>
      </c>
      <c r="P12" t="s">
        <v>194</v>
      </c>
      <c r="Q12" t="s">
        <v>194</v>
      </c>
      <c r="R12" t="s">
        <v>1</v>
      </c>
      <c r="S12" t="s">
        <v>300</v>
      </c>
      <c r="T12" t="s">
        <v>194</v>
      </c>
    </row>
    <row r="13" spans="1:20" ht="14.25">
      <c r="A13">
        <v>12</v>
      </c>
      <c r="B13" t="s">
        <v>68</v>
      </c>
      <c r="C13" t="s">
        <v>20</v>
      </c>
      <c r="D13" s="5" t="s">
        <v>69</v>
      </c>
      <c r="E13" s="16" t="s">
        <v>70</v>
      </c>
      <c r="F13" s="16" t="s">
        <v>71</v>
      </c>
      <c r="G13" s="16" t="s">
        <v>72</v>
      </c>
      <c r="H13" s="16" t="s">
        <v>73</v>
      </c>
      <c r="I13" t="s">
        <v>517</v>
      </c>
      <c r="J13" t="s">
        <v>367</v>
      </c>
      <c r="K13" t="s">
        <v>239</v>
      </c>
      <c r="L13" t="s">
        <v>292</v>
      </c>
      <c r="M13" s="16" t="s">
        <v>304</v>
      </c>
      <c r="N13" s="4">
        <v>0.55000000000000004</v>
      </c>
      <c r="O13" s="17">
        <v>0.45</v>
      </c>
      <c r="P13" t="s">
        <v>1</v>
      </c>
      <c r="Q13" t="s">
        <v>194</v>
      </c>
      <c r="R13" t="s">
        <v>194</v>
      </c>
      <c r="S13" t="s">
        <v>293</v>
      </c>
      <c r="T13" t="s">
        <v>299</v>
      </c>
    </row>
    <row r="14" spans="1:20" ht="14.25">
      <c r="A14">
        <v>13</v>
      </c>
      <c r="B14" t="s">
        <v>518</v>
      </c>
      <c r="C14" t="s">
        <v>20</v>
      </c>
      <c r="D14" s="5" t="s">
        <v>74</v>
      </c>
      <c r="E14" s="16" t="s">
        <v>75</v>
      </c>
      <c r="F14" s="16" t="s">
        <v>76</v>
      </c>
      <c r="G14" s="16" t="s">
        <v>77</v>
      </c>
      <c r="H14" s="16" t="s">
        <v>78</v>
      </c>
      <c r="I14" t="s">
        <v>519</v>
      </c>
      <c r="J14" t="s">
        <v>228</v>
      </c>
      <c r="K14" t="s">
        <v>234</v>
      </c>
      <c r="L14" t="s">
        <v>262</v>
      </c>
      <c r="M14" s="16" t="s">
        <v>304</v>
      </c>
      <c r="N14" s="4">
        <v>0.6</v>
      </c>
      <c r="O14" s="17">
        <v>0.5</v>
      </c>
      <c r="P14" t="s">
        <v>1</v>
      </c>
      <c r="Q14" t="s">
        <v>259</v>
      </c>
      <c r="R14" t="s">
        <v>194</v>
      </c>
      <c r="S14" t="s">
        <v>194</v>
      </c>
      <c r="T14" t="s">
        <v>259</v>
      </c>
    </row>
    <row r="15" spans="1:20" ht="14.25">
      <c r="A15">
        <v>14</v>
      </c>
      <c r="B15" t="s">
        <v>520</v>
      </c>
      <c r="C15" t="s">
        <v>20</v>
      </c>
      <c r="D15" s="5" t="s">
        <v>79</v>
      </c>
      <c r="E15" s="16" t="s">
        <v>80</v>
      </c>
      <c r="F15" s="16" t="s">
        <v>75</v>
      </c>
      <c r="G15" s="16" t="s">
        <v>81</v>
      </c>
      <c r="H15" s="16" t="s">
        <v>76</v>
      </c>
      <c r="I15" t="s">
        <v>521</v>
      </c>
      <c r="J15" t="s">
        <v>226</v>
      </c>
      <c r="K15" t="s">
        <v>232</v>
      </c>
      <c r="L15" t="s">
        <v>234</v>
      </c>
      <c r="M15" s="16" t="s">
        <v>303</v>
      </c>
      <c r="N15" s="4">
        <v>0.75</v>
      </c>
      <c r="O15" s="17">
        <v>0.6</v>
      </c>
      <c r="P15" t="s">
        <v>1</v>
      </c>
      <c r="Q15" t="s">
        <v>259</v>
      </c>
      <c r="R15" t="s">
        <v>194</v>
      </c>
      <c r="S15" t="s">
        <v>259</v>
      </c>
      <c r="T15" t="s">
        <v>194</v>
      </c>
    </row>
    <row r="16" spans="1:20" ht="14.25">
      <c r="A16">
        <v>15</v>
      </c>
      <c r="B16" t="s">
        <v>82</v>
      </c>
      <c r="C16" t="s">
        <v>44</v>
      </c>
      <c r="D16" s="5" t="s">
        <v>83</v>
      </c>
      <c r="E16" s="16" t="s">
        <v>79</v>
      </c>
      <c r="F16" s="16" t="s">
        <v>76</v>
      </c>
      <c r="G16" s="16" t="s">
        <v>78</v>
      </c>
      <c r="H16" s="16" t="s">
        <v>84</v>
      </c>
      <c r="I16" t="s">
        <v>522</v>
      </c>
      <c r="J16" t="s">
        <v>367</v>
      </c>
      <c r="K16" t="s">
        <v>283</v>
      </c>
      <c r="L16" t="s">
        <v>289</v>
      </c>
      <c r="M16" s="16" t="s">
        <v>303</v>
      </c>
      <c r="N16" s="4">
        <v>0.7</v>
      </c>
      <c r="O16" s="17">
        <v>0.55000000000000004</v>
      </c>
      <c r="P16" t="s">
        <v>255</v>
      </c>
      <c r="Q16" t="s">
        <v>194</v>
      </c>
      <c r="R16" t="s">
        <v>194</v>
      </c>
      <c r="S16" t="s">
        <v>1</v>
      </c>
      <c r="T16" t="s">
        <v>194</v>
      </c>
    </row>
    <row r="17" spans="1:20" ht="14.25">
      <c r="A17">
        <v>16</v>
      </c>
      <c r="B17" t="s">
        <v>525</v>
      </c>
      <c r="C17" t="s">
        <v>31</v>
      </c>
      <c r="D17" s="5" t="s">
        <v>86</v>
      </c>
      <c r="E17" s="16" t="s">
        <v>83</v>
      </c>
      <c r="F17" s="16" t="s">
        <v>87</v>
      </c>
      <c r="G17" s="16" t="s">
        <v>79</v>
      </c>
      <c r="H17" s="16" t="s">
        <v>75</v>
      </c>
      <c r="I17" t="s">
        <v>526</v>
      </c>
      <c r="J17" t="s">
        <v>228</v>
      </c>
      <c r="K17" t="s">
        <v>234</v>
      </c>
      <c r="L17" t="s">
        <v>250</v>
      </c>
      <c r="M17" s="16" t="s">
        <v>303</v>
      </c>
      <c r="N17" s="4">
        <v>0.75</v>
      </c>
      <c r="O17" s="17">
        <v>0.55000000000000004</v>
      </c>
      <c r="P17" t="s">
        <v>194</v>
      </c>
      <c r="Q17" t="s">
        <v>255</v>
      </c>
      <c r="R17" t="s">
        <v>1</v>
      </c>
      <c r="S17" t="s">
        <v>194</v>
      </c>
      <c r="T17" t="s">
        <v>194</v>
      </c>
    </row>
    <row r="18" spans="1:20" ht="14.25">
      <c r="A18">
        <v>17</v>
      </c>
      <c r="B18" t="s">
        <v>527</v>
      </c>
      <c r="C18" t="s">
        <v>20</v>
      </c>
      <c r="D18" s="5" t="s">
        <v>639</v>
      </c>
      <c r="E18" s="16" t="s">
        <v>88</v>
      </c>
      <c r="F18" s="16" t="s">
        <v>89</v>
      </c>
      <c r="G18" s="16" t="s">
        <v>74</v>
      </c>
      <c r="H18" s="16" t="s">
        <v>75</v>
      </c>
      <c r="I18" t="s">
        <v>638</v>
      </c>
      <c r="J18" t="s">
        <v>367</v>
      </c>
      <c r="K18" t="s">
        <v>283</v>
      </c>
      <c r="L18" t="s">
        <v>289</v>
      </c>
      <c r="M18" s="16" t="s">
        <v>306</v>
      </c>
      <c r="N18" s="4">
        <v>0.85</v>
      </c>
      <c r="O18" s="17">
        <v>0.7</v>
      </c>
      <c r="P18" t="s">
        <v>1</v>
      </c>
      <c r="Q18" t="s">
        <v>194</v>
      </c>
      <c r="R18" t="s">
        <v>194</v>
      </c>
      <c r="S18" t="s">
        <v>194</v>
      </c>
      <c r="T18" t="s">
        <v>194</v>
      </c>
    </row>
    <row r="19" spans="1:20" ht="14.25">
      <c r="A19">
        <v>18</v>
      </c>
      <c r="B19" t="s">
        <v>90</v>
      </c>
      <c r="C19" t="s">
        <v>31</v>
      </c>
      <c r="D19" s="5" t="s">
        <v>91</v>
      </c>
      <c r="E19" s="16" t="s">
        <v>92</v>
      </c>
      <c r="F19" s="16" t="s">
        <v>93</v>
      </c>
      <c r="G19" s="16" t="s">
        <v>94</v>
      </c>
      <c r="H19" s="16" t="s">
        <v>95</v>
      </c>
      <c r="I19" t="s">
        <v>528</v>
      </c>
      <c r="J19" t="s">
        <v>367</v>
      </c>
      <c r="K19" t="s">
        <v>239</v>
      </c>
      <c r="L19" t="s">
        <v>235</v>
      </c>
      <c r="M19" s="16" t="s">
        <v>303</v>
      </c>
      <c r="N19" s="4">
        <v>0.65</v>
      </c>
      <c r="O19" s="17">
        <v>0.5</v>
      </c>
      <c r="P19" t="s">
        <v>194</v>
      </c>
      <c r="Q19" t="s">
        <v>278</v>
      </c>
      <c r="R19" t="s">
        <v>1</v>
      </c>
      <c r="S19" t="s">
        <v>278</v>
      </c>
      <c r="T19" t="s">
        <v>194</v>
      </c>
    </row>
    <row r="20" spans="1:20" ht="14.25">
      <c r="A20">
        <v>19</v>
      </c>
      <c r="B20" t="s">
        <v>529</v>
      </c>
      <c r="C20" t="s">
        <v>31</v>
      </c>
      <c r="D20" s="5" t="s">
        <v>96</v>
      </c>
      <c r="E20" s="16" t="s">
        <v>97</v>
      </c>
      <c r="F20" s="16" t="s">
        <v>77</v>
      </c>
      <c r="G20" s="16" t="s">
        <v>98</v>
      </c>
      <c r="H20" s="16" t="s">
        <v>99</v>
      </c>
      <c r="I20" t="s">
        <v>530</v>
      </c>
      <c r="J20" t="s">
        <v>228</v>
      </c>
      <c r="K20" t="s">
        <v>235</v>
      </c>
      <c r="L20" t="s">
        <v>254</v>
      </c>
      <c r="M20" s="16" t="s">
        <v>308</v>
      </c>
      <c r="N20" s="4">
        <v>0.3</v>
      </c>
      <c r="O20" s="17">
        <v>0.35</v>
      </c>
      <c r="P20" t="s">
        <v>138</v>
      </c>
      <c r="Q20" t="s">
        <v>278</v>
      </c>
      <c r="R20" t="s">
        <v>1</v>
      </c>
      <c r="S20" t="s">
        <v>194</v>
      </c>
      <c r="T20" t="s">
        <v>278</v>
      </c>
    </row>
    <row r="21" spans="1:20" ht="14.25">
      <c r="A21">
        <v>20</v>
      </c>
      <c r="B21" t="s">
        <v>448</v>
      </c>
      <c r="C21" t="s">
        <v>31</v>
      </c>
      <c r="D21" s="5" t="s">
        <v>77</v>
      </c>
      <c r="E21" s="16" t="s">
        <v>87</v>
      </c>
      <c r="F21" s="16" t="s">
        <v>98</v>
      </c>
      <c r="G21" s="16" t="s">
        <v>100</v>
      </c>
      <c r="H21" s="16" t="s">
        <v>101</v>
      </c>
      <c r="I21" t="s">
        <v>531</v>
      </c>
      <c r="J21" t="s">
        <v>227</v>
      </c>
      <c r="K21" t="s">
        <v>283</v>
      </c>
      <c r="L21" t="s">
        <v>289</v>
      </c>
      <c r="M21" s="16" t="s">
        <v>303</v>
      </c>
      <c r="N21" s="4">
        <v>0.8</v>
      </c>
      <c r="O21" s="17">
        <v>0.6</v>
      </c>
      <c r="P21" t="s">
        <v>278</v>
      </c>
      <c r="Q21" t="s">
        <v>194</v>
      </c>
      <c r="R21" t="s">
        <v>1</v>
      </c>
      <c r="S21" t="s">
        <v>194</v>
      </c>
      <c r="T21" t="s">
        <v>194</v>
      </c>
    </row>
    <row r="22" spans="1:20" ht="14.25">
      <c r="A22">
        <v>21</v>
      </c>
      <c r="B22" t="s">
        <v>532</v>
      </c>
      <c r="C22" t="s">
        <v>49</v>
      </c>
      <c r="D22" s="5" t="s">
        <v>102</v>
      </c>
      <c r="E22" s="16" t="s">
        <v>103</v>
      </c>
      <c r="F22" s="16" t="s">
        <v>104</v>
      </c>
      <c r="G22" s="16" t="s">
        <v>105</v>
      </c>
      <c r="H22" s="16" t="s">
        <v>106</v>
      </c>
      <c r="I22" t="s">
        <v>533</v>
      </c>
      <c r="J22" t="s">
        <v>367</v>
      </c>
      <c r="K22" t="s">
        <v>239</v>
      </c>
      <c r="L22" t="s">
        <v>292</v>
      </c>
      <c r="M22" s="16" t="s">
        <v>306</v>
      </c>
      <c r="N22" s="4">
        <v>0.85</v>
      </c>
      <c r="O22" s="17">
        <v>0.65</v>
      </c>
      <c r="P22" t="s">
        <v>194</v>
      </c>
      <c r="Q22" t="s">
        <v>194</v>
      </c>
      <c r="R22" t="s">
        <v>194</v>
      </c>
      <c r="S22" t="s">
        <v>194</v>
      </c>
      <c r="T22" t="s">
        <v>1</v>
      </c>
    </row>
    <row r="23" spans="1:20" ht="14.25">
      <c r="A23">
        <v>22</v>
      </c>
      <c r="B23" t="s">
        <v>644</v>
      </c>
      <c r="C23" t="s">
        <v>44</v>
      </c>
      <c r="D23" s="5" t="s">
        <v>79</v>
      </c>
      <c r="E23" s="16" t="s">
        <v>75</v>
      </c>
      <c r="F23" s="16" t="s">
        <v>76</v>
      </c>
      <c r="G23" s="16" t="s">
        <v>77</v>
      </c>
      <c r="H23" s="16" t="s">
        <v>78</v>
      </c>
      <c r="I23" t="s">
        <v>645</v>
      </c>
      <c r="J23" t="s">
        <v>228</v>
      </c>
      <c r="K23" t="s">
        <v>234</v>
      </c>
      <c r="L23" t="s">
        <v>250</v>
      </c>
      <c r="M23" s="16" t="s">
        <v>304</v>
      </c>
      <c r="N23" s="4">
        <v>0.6</v>
      </c>
      <c r="O23" s="17">
        <v>0.5</v>
      </c>
      <c r="P23" t="s">
        <v>194</v>
      </c>
      <c r="Q23" t="s">
        <v>259</v>
      </c>
      <c r="R23" t="s">
        <v>194</v>
      </c>
      <c r="S23" t="s">
        <v>1</v>
      </c>
      <c r="T23" t="s">
        <v>194</v>
      </c>
    </row>
    <row r="24" spans="1:20" ht="14.25">
      <c r="A24">
        <v>23</v>
      </c>
      <c r="B24" t="s">
        <v>536</v>
      </c>
      <c r="C24" t="s">
        <v>31</v>
      </c>
      <c r="D24" s="5" t="s">
        <v>108</v>
      </c>
      <c r="E24" s="16" t="s">
        <v>79</v>
      </c>
      <c r="F24" s="16" t="s">
        <v>75</v>
      </c>
      <c r="G24" s="16" t="s">
        <v>333</v>
      </c>
      <c r="H24" s="16" t="s">
        <v>341</v>
      </c>
      <c r="I24" t="s">
        <v>537</v>
      </c>
      <c r="J24" t="s">
        <v>228</v>
      </c>
      <c r="K24" t="s">
        <v>235</v>
      </c>
      <c r="L24" t="s">
        <v>254</v>
      </c>
      <c r="M24" s="16" t="s">
        <v>304</v>
      </c>
      <c r="N24" s="4">
        <v>0.5</v>
      </c>
      <c r="O24" s="17">
        <v>0.45</v>
      </c>
      <c r="P24" t="s">
        <v>272</v>
      </c>
      <c r="Q24" t="s">
        <v>261</v>
      </c>
      <c r="R24" t="s">
        <v>1</v>
      </c>
      <c r="S24" t="s">
        <v>272</v>
      </c>
      <c r="T24" t="s">
        <v>272</v>
      </c>
    </row>
    <row r="25" spans="1:20" ht="14.25">
      <c r="A25">
        <v>24</v>
      </c>
      <c r="B25" t="s">
        <v>538</v>
      </c>
      <c r="C25" t="s">
        <v>31</v>
      </c>
      <c r="D25" s="6" t="s">
        <v>109</v>
      </c>
      <c r="E25" s="16" t="s">
        <v>110</v>
      </c>
      <c r="F25" s="16" t="s">
        <v>111</v>
      </c>
      <c r="G25" s="16" t="s">
        <v>112</v>
      </c>
      <c r="H25" s="16" t="s">
        <v>113</v>
      </c>
      <c r="I25" t="s">
        <v>539</v>
      </c>
      <c r="J25" t="s">
        <v>367</v>
      </c>
      <c r="K25" t="s">
        <v>239</v>
      </c>
      <c r="L25" t="s">
        <v>292</v>
      </c>
      <c r="M25" s="16" t="s">
        <v>303</v>
      </c>
      <c r="N25" s="4">
        <v>0.75</v>
      </c>
      <c r="O25" s="17">
        <v>0.55000000000000004</v>
      </c>
      <c r="P25" t="s">
        <v>194</v>
      </c>
      <c r="Q25" t="s">
        <v>194</v>
      </c>
      <c r="R25" t="s">
        <v>1</v>
      </c>
      <c r="S25" t="s">
        <v>278</v>
      </c>
      <c r="T25" t="s">
        <v>194</v>
      </c>
    </row>
    <row r="26" spans="1:20" ht="14.25">
      <c r="A26">
        <v>25</v>
      </c>
      <c r="B26" t="s">
        <v>114</v>
      </c>
      <c r="C26" t="s">
        <v>44</v>
      </c>
      <c r="D26" s="6" t="s">
        <v>76</v>
      </c>
      <c r="E26" s="16" t="s">
        <v>97</v>
      </c>
      <c r="F26" s="16" t="s">
        <v>99</v>
      </c>
      <c r="G26" s="16" t="s">
        <v>115</v>
      </c>
      <c r="H26" s="16" t="s">
        <v>116</v>
      </c>
      <c r="I26" t="s">
        <v>540</v>
      </c>
      <c r="J26" t="s">
        <v>367</v>
      </c>
      <c r="K26" t="s">
        <v>239</v>
      </c>
      <c r="L26" t="s">
        <v>292</v>
      </c>
      <c r="M26" s="16" t="s">
        <v>303</v>
      </c>
      <c r="N26" s="4">
        <v>0.8</v>
      </c>
      <c r="O26" s="17">
        <v>0.6</v>
      </c>
      <c r="P26" t="s">
        <v>194</v>
      </c>
      <c r="Q26" t="s">
        <v>194</v>
      </c>
      <c r="R26" t="s">
        <v>278</v>
      </c>
      <c r="S26" t="s">
        <v>1</v>
      </c>
      <c r="T26" t="s">
        <v>194</v>
      </c>
    </row>
    <row r="27" spans="1:20" ht="14.25">
      <c r="A27">
        <v>26</v>
      </c>
      <c r="B27" t="s">
        <v>117</v>
      </c>
      <c r="C27" t="s">
        <v>17</v>
      </c>
      <c r="D27" s="6" t="s">
        <v>118</v>
      </c>
      <c r="E27" s="16" t="s">
        <v>119</v>
      </c>
      <c r="F27" s="16" t="s">
        <v>96</v>
      </c>
      <c r="G27" s="16" t="s">
        <v>120</v>
      </c>
      <c r="H27" s="16" t="s">
        <v>121</v>
      </c>
      <c r="I27" t="s">
        <v>541</v>
      </c>
      <c r="J27" t="s">
        <v>367</v>
      </c>
      <c r="K27" t="s">
        <v>239</v>
      </c>
      <c r="L27" t="s">
        <v>292</v>
      </c>
      <c r="M27" s="16" t="s">
        <v>304</v>
      </c>
      <c r="N27" s="4">
        <v>0.7</v>
      </c>
      <c r="O27" s="17">
        <v>0.55000000000000004</v>
      </c>
      <c r="P27" t="s">
        <v>194</v>
      </c>
      <c r="Q27" t="s">
        <v>1</v>
      </c>
      <c r="R27" t="s">
        <v>194</v>
      </c>
      <c r="S27" t="s">
        <v>194</v>
      </c>
      <c r="T27" t="s">
        <v>194</v>
      </c>
    </row>
    <row r="28" spans="1:20" ht="14.25">
      <c r="A28">
        <v>27</v>
      </c>
      <c r="B28" t="s">
        <v>542</v>
      </c>
      <c r="C28" t="s">
        <v>49</v>
      </c>
      <c r="D28" s="6" t="s">
        <v>122</v>
      </c>
      <c r="E28" s="16" t="s">
        <v>123</v>
      </c>
      <c r="F28" s="16" t="s">
        <v>124</v>
      </c>
      <c r="G28" s="16" t="s">
        <v>125</v>
      </c>
      <c r="H28" s="16" t="s">
        <v>126</v>
      </c>
      <c r="I28" t="s">
        <v>543</v>
      </c>
      <c r="J28" t="s">
        <v>367</v>
      </c>
      <c r="K28" t="s">
        <v>239</v>
      </c>
      <c r="L28" t="s">
        <v>292</v>
      </c>
      <c r="M28" s="16" t="s">
        <v>306</v>
      </c>
      <c r="N28" s="4">
        <v>0.85</v>
      </c>
      <c r="O28" s="17">
        <v>0.65</v>
      </c>
      <c r="P28" t="s">
        <v>194</v>
      </c>
      <c r="Q28" t="s">
        <v>194</v>
      </c>
      <c r="R28" t="s">
        <v>194</v>
      </c>
      <c r="S28" t="s">
        <v>194</v>
      </c>
      <c r="T28" t="s">
        <v>1</v>
      </c>
    </row>
    <row r="29" spans="1:20" ht="14.25">
      <c r="A29">
        <v>28</v>
      </c>
      <c r="B29" t="s">
        <v>480</v>
      </c>
      <c r="C29" t="s">
        <v>31</v>
      </c>
      <c r="D29" s="6" t="s">
        <v>311</v>
      </c>
      <c r="E29" s="16" t="s">
        <v>317</v>
      </c>
      <c r="F29" s="16" t="s">
        <v>76</v>
      </c>
      <c r="G29" s="16" t="s">
        <v>334</v>
      </c>
      <c r="H29" s="16" t="s">
        <v>78</v>
      </c>
      <c r="I29" t="s">
        <v>640</v>
      </c>
      <c r="J29" t="s">
        <v>367</v>
      </c>
      <c r="K29" t="s">
        <v>239</v>
      </c>
      <c r="L29" t="s">
        <v>292</v>
      </c>
      <c r="M29" s="16" t="s">
        <v>303</v>
      </c>
      <c r="N29" s="4">
        <v>0.75</v>
      </c>
      <c r="O29" s="17">
        <v>0.55000000000000004</v>
      </c>
      <c r="P29" t="s">
        <v>194</v>
      </c>
      <c r="Q29" t="s">
        <v>194</v>
      </c>
      <c r="R29" t="s">
        <v>1</v>
      </c>
      <c r="S29" t="s">
        <v>194</v>
      </c>
      <c r="T29" t="s">
        <v>194</v>
      </c>
    </row>
    <row r="30" spans="1:20" ht="14.25">
      <c r="A30">
        <v>29</v>
      </c>
      <c r="B30" t="s">
        <v>127</v>
      </c>
      <c r="C30" t="s">
        <v>31</v>
      </c>
      <c r="D30" s="6" t="s">
        <v>128</v>
      </c>
      <c r="E30" s="16" t="s">
        <v>318</v>
      </c>
      <c r="F30" s="16" t="s">
        <v>326</v>
      </c>
      <c r="G30" s="16" t="s">
        <v>115</v>
      </c>
      <c r="H30" s="16" t="s">
        <v>342</v>
      </c>
      <c r="I30" t="s">
        <v>544</v>
      </c>
      <c r="J30" t="s">
        <v>367</v>
      </c>
      <c r="K30" t="s">
        <v>239</v>
      </c>
      <c r="L30" t="s">
        <v>292</v>
      </c>
      <c r="M30" s="16" t="s">
        <v>304</v>
      </c>
      <c r="N30" s="4">
        <v>0.65</v>
      </c>
      <c r="O30" s="17">
        <v>0.5</v>
      </c>
      <c r="P30" t="s">
        <v>194</v>
      </c>
      <c r="Q30" t="s">
        <v>300</v>
      </c>
      <c r="R30" t="s">
        <v>1</v>
      </c>
      <c r="S30" t="s">
        <v>194</v>
      </c>
      <c r="T30" t="s">
        <v>194</v>
      </c>
    </row>
    <row r="31" spans="1:20" ht="14.25">
      <c r="A31">
        <v>30</v>
      </c>
      <c r="B31" t="s">
        <v>129</v>
      </c>
      <c r="C31" t="s">
        <v>17</v>
      </c>
      <c r="D31" s="6" t="s">
        <v>312</v>
      </c>
      <c r="E31" s="16" t="s">
        <v>319</v>
      </c>
      <c r="F31" s="16" t="s">
        <v>320</v>
      </c>
      <c r="G31" s="16" t="s">
        <v>335</v>
      </c>
      <c r="H31" s="16" t="s">
        <v>343</v>
      </c>
      <c r="I31" t="s">
        <v>545</v>
      </c>
      <c r="J31" t="s">
        <v>367</v>
      </c>
      <c r="K31" t="s">
        <v>239</v>
      </c>
      <c r="L31" t="s">
        <v>292</v>
      </c>
      <c r="M31" s="16" t="s">
        <v>304</v>
      </c>
      <c r="N31" s="4">
        <v>0.6</v>
      </c>
      <c r="O31" s="17">
        <v>0.45</v>
      </c>
      <c r="P31" t="s">
        <v>194</v>
      </c>
      <c r="Q31" t="s">
        <v>1</v>
      </c>
      <c r="R31" t="s">
        <v>194</v>
      </c>
      <c r="S31" t="s">
        <v>293</v>
      </c>
      <c r="T31" t="s">
        <v>194</v>
      </c>
    </row>
    <row r="32" spans="1:20" ht="14.25">
      <c r="A32">
        <v>31</v>
      </c>
      <c r="B32" t="s">
        <v>130</v>
      </c>
      <c r="C32" t="s">
        <v>31</v>
      </c>
      <c r="D32" s="6" t="s">
        <v>116</v>
      </c>
      <c r="E32" s="16" t="s">
        <v>121</v>
      </c>
      <c r="F32" s="16" t="s">
        <v>641</v>
      </c>
      <c r="G32" s="16" t="s">
        <v>131</v>
      </c>
      <c r="H32" s="16" t="s">
        <v>115</v>
      </c>
      <c r="I32" t="s">
        <v>642</v>
      </c>
      <c r="J32" t="s">
        <v>367</v>
      </c>
      <c r="K32" t="s">
        <v>239</v>
      </c>
      <c r="L32" t="s">
        <v>292</v>
      </c>
      <c r="M32" s="16" t="s">
        <v>303</v>
      </c>
      <c r="N32" s="4">
        <v>0.7</v>
      </c>
      <c r="O32" s="17">
        <v>0.6</v>
      </c>
      <c r="P32" t="s">
        <v>194</v>
      </c>
      <c r="Q32" t="s">
        <v>194</v>
      </c>
      <c r="R32" t="s">
        <v>1</v>
      </c>
      <c r="S32" t="s">
        <v>194</v>
      </c>
      <c r="T32" t="s">
        <v>194</v>
      </c>
    </row>
    <row r="33" spans="1:20" ht="14.25">
      <c r="A33">
        <v>32</v>
      </c>
      <c r="B33" t="s">
        <v>491</v>
      </c>
      <c r="C33" t="s">
        <v>20</v>
      </c>
      <c r="D33" s="6" t="s">
        <v>87</v>
      </c>
      <c r="E33" s="16" t="s">
        <v>132</v>
      </c>
      <c r="F33" s="16" t="s">
        <v>79</v>
      </c>
      <c r="G33" s="16" t="s">
        <v>75</v>
      </c>
      <c r="H33" s="16" t="s">
        <v>133</v>
      </c>
      <c r="I33" t="s">
        <v>546</v>
      </c>
      <c r="J33" t="s">
        <v>226</v>
      </c>
      <c r="K33" t="s">
        <v>230</v>
      </c>
      <c r="L33" t="s">
        <v>241</v>
      </c>
      <c r="M33" s="16" t="s">
        <v>303</v>
      </c>
      <c r="N33" s="4">
        <v>0.8</v>
      </c>
      <c r="O33" s="17">
        <v>0.65</v>
      </c>
      <c r="P33" t="s">
        <v>1</v>
      </c>
      <c r="Q33" t="s">
        <v>194</v>
      </c>
      <c r="R33" t="s">
        <v>278</v>
      </c>
      <c r="S33" t="s">
        <v>194</v>
      </c>
      <c r="T33" t="s">
        <v>194</v>
      </c>
    </row>
    <row r="34" spans="1:20" ht="14.25">
      <c r="A34">
        <v>33</v>
      </c>
      <c r="B34" t="s">
        <v>547</v>
      </c>
      <c r="C34" t="s">
        <v>17</v>
      </c>
      <c r="D34" s="6" t="s">
        <v>79</v>
      </c>
      <c r="E34" s="16" t="s">
        <v>75</v>
      </c>
      <c r="F34" s="16" t="s">
        <v>76</v>
      </c>
      <c r="G34" s="16" t="s">
        <v>77</v>
      </c>
      <c r="H34" s="16" t="s">
        <v>134</v>
      </c>
      <c r="I34" t="s">
        <v>548</v>
      </c>
      <c r="J34" t="s">
        <v>226</v>
      </c>
      <c r="K34" t="s">
        <v>232</v>
      </c>
      <c r="L34" t="s">
        <v>285</v>
      </c>
      <c r="M34" s="16" t="s">
        <v>304</v>
      </c>
      <c r="N34" s="4">
        <v>0.55000000000000004</v>
      </c>
      <c r="O34" s="17">
        <v>0.45</v>
      </c>
      <c r="P34" t="s">
        <v>277</v>
      </c>
      <c r="Q34" t="s">
        <v>1</v>
      </c>
      <c r="R34" t="s">
        <v>277</v>
      </c>
      <c r="S34" t="s">
        <v>277</v>
      </c>
      <c r="T34" t="s">
        <v>277</v>
      </c>
    </row>
    <row r="35" spans="1:20" ht="14.25">
      <c r="A35">
        <v>34</v>
      </c>
      <c r="B35" t="s">
        <v>549</v>
      </c>
      <c r="C35" t="s">
        <v>44</v>
      </c>
      <c r="D35" s="6" t="s">
        <v>97</v>
      </c>
      <c r="E35" s="16" t="s">
        <v>84</v>
      </c>
      <c r="F35" s="16" t="s">
        <v>128</v>
      </c>
      <c r="G35" s="16" t="s">
        <v>135</v>
      </c>
      <c r="H35" s="16" t="s">
        <v>115</v>
      </c>
      <c r="I35" t="s">
        <v>550</v>
      </c>
      <c r="J35" t="s">
        <v>226</v>
      </c>
      <c r="K35" t="s">
        <v>230</v>
      </c>
      <c r="L35" t="s">
        <v>262</v>
      </c>
      <c r="M35" s="16" t="s">
        <v>304</v>
      </c>
      <c r="N35" s="4">
        <v>0.6</v>
      </c>
      <c r="O35" s="17">
        <v>0.5</v>
      </c>
      <c r="P35" t="s">
        <v>277</v>
      </c>
      <c r="Q35" t="s">
        <v>277</v>
      </c>
      <c r="R35" t="s">
        <v>277</v>
      </c>
      <c r="S35" t="s">
        <v>1</v>
      </c>
      <c r="T35" t="s">
        <v>277</v>
      </c>
    </row>
    <row r="36" spans="1:20" ht="14.25">
      <c r="A36">
        <v>35</v>
      </c>
      <c r="B36" t="s">
        <v>551</v>
      </c>
      <c r="C36" t="s">
        <v>31</v>
      </c>
      <c r="D36" s="5" t="s">
        <v>313</v>
      </c>
      <c r="E36" s="16" t="s">
        <v>87</v>
      </c>
      <c r="F36" s="16" t="s">
        <v>327</v>
      </c>
      <c r="G36" s="16" t="s">
        <v>336</v>
      </c>
      <c r="H36" s="16" t="s">
        <v>79</v>
      </c>
      <c r="I36" t="s">
        <v>552</v>
      </c>
      <c r="J36" t="s">
        <v>226</v>
      </c>
      <c r="K36" t="s">
        <v>230</v>
      </c>
      <c r="L36" t="s">
        <v>242</v>
      </c>
      <c r="M36" s="16" t="s">
        <v>303</v>
      </c>
      <c r="N36" s="4">
        <v>0.75</v>
      </c>
      <c r="O36" s="17">
        <v>0.6</v>
      </c>
      <c r="P36" t="s">
        <v>194</v>
      </c>
      <c r="Q36" t="s">
        <v>278</v>
      </c>
      <c r="R36" t="s">
        <v>1</v>
      </c>
      <c r="S36" t="s">
        <v>194</v>
      </c>
      <c r="T36" t="s">
        <v>194</v>
      </c>
    </row>
    <row r="37" spans="1:20" ht="14.25">
      <c r="A37">
        <v>36</v>
      </c>
      <c r="B37" s="5" t="s">
        <v>309</v>
      </c>
      <c r="C37" t="s">
        <v>17</v>
      </c>
      <c r="D37" s="5" t="s">
        <v>77</v>
      </c>
      <c r="E37" s="16" t="s">
        <v>97</v>
      </c>
      <c r="F37" s="16" t="s">
        <v>115</v>
      </c>
      <c r="G37" s="16" t="s">
        <v>136</v>
      </c>
      <c r="H37" s="16" t="s">
        <v>137</v>
      </c>
      <c r="I37" t="s">
        <v>643</v>
      </c>
      <c r="J37" t="s">
        <v>226</v>
      </c>
      <c r="K37" t="s">
        <v>232</v>
      </c>
      <c r="L37" t="s">
        <v>241</v>
      </c>
      <c r="M37" s="16" t="s">
        <v>303</v>
      </c>
      <c r="N37" s="4">
        <v>0.75</v>
      </c>
      <c r="O37" s="17">
        <v>0.55000000000000004</v>
      </c>
      <c r="P37" t="s">
        <v>194</v>
      </c>
      <c r="Q37" t="s">
        <v>1</v>
      </c>
      <c r="R37" t="s">
        <v>194</v>
      </c>
      <c r="S37" t="s">
        <v>194</v>
      </c>
      <c r="T37" t="s">
        <v>194</v>
      </c>
    </row>
    <row r="38" spans="1:20" ht="14.25">
      <c r="A38">
        <v>37</v>
      </c>
      <c r="B38" t="s">
        <v>553</v>
      </c>
      <c r="C38" t="s">
        <v>17</v>
      </c>
      <c r="D38" s="5" t="s">
        <v>87</v>
      </c>
      <c r="E38" s="16" t="s">
        <v>132</v>
      </c>
      <c r="F38" s="16" t="s">
        <v>79</v>
      </c>
      <c r="G38" s="16" t="s">
        <v>75</v>
      </c>
      <c r="H38" s="16" t="s">
        <v>42</v>
      </c>
      <c r="I38" t="s">
        <v>554</v>
      </c>
      <c r="J38" t="s">
        <v>226</v>
      </c>
      <c r="K38" t="s">
        <v>230</v>
      </c>
      <c r="L38" t="s">
        <v>242</v>
      </c>
      <c r="M38" s="16" t="s">
        <v>304</v>
      </c>
      <c r="N38" s="4">
        <v>0.65</v>
      </c>
      <c r="O38" s="17">
        <v>0.55000000000000004</v>
      </c>
      <c r="P38" t="s">
        <v>194</v>
      </c>
      <c r="Q38" t="s">
        <v>1</v>
      </c>
      <c r="R38" t="s">
        <v>194</v>
      </c>
      <c r="S38" t="s">
        <v>194</v>
      </c>
      <c r="T38" t="s">
        <v>278</v>
      </c>
    </row>
    <row r="39" spans="1:20" ht="14.25">
      <c r="A39">
        <v>38</v>
      </c>
      <c r="B39" t="s">
        <v>555</v>
      </c>
      <c r="C39" t="s">
        <v>31</v>
      </c>
      <c r="D39" s="3" t="s">
        <v>74</v>
      </c>
      <c r="E39" s="8" t="s">
        <v>108</v>
      </c>
      <c r="F39" s="8" t="s">
        <v>139</v>
      </c>
      <c r="G39" s="8" t="s">
        <v>140</v>
      </c>
      <c r="H39" s="8" t="s">
        <v>141</v>
      </c>
      <c r="I39" t="s">
        <v>556</v>
      </c>
      <c r="J39" t="s">
        <v>226</v>
      </c>
      <c r="K39" t="s">
        <v>230</v>
      </c>
      <c r="L39" t="s">
        <v>267</v>
      </c>
      <c r="M39" s="8" t="s">
        <v>304</v>
      </c>
      <c r="N39" s="4">
        <v>0.6</v>
      </c>
      <c r="O39" s="17">
        <v>0.5</v>
      </c>
      <c r="P39" t="s">
        <v>278</v>
      </c>
      <c r="Q39" t="s">
        <v>278</v>
      </c>
      <c r="R39" t="s">
        <v>1</v>
      </c>
      <c r="S39" t="s">
        <v>194</v>
      </c>
      <c r="T39" t="s">
        <v>278</v>
      </c>
    </row>
    <row r="40" spans="1:20" ht="14.25">
      <c r="A40">
        <v>39</v>
      </c>
      <c r="B40" t="s">
        <v>557</v>
      </c>
      <c r="C40" t="s">
        <v>44</v>
      </c>
      <c r="D40" s="3" t="s">
        <v>87</v>
      </c>
      <c r="E40" s="8" t="s">
        <v>77</v>
      </c>
      <c r="F40" s="8" t="s">
        <v>128</v>
      </c>
      <c r="G40" s="8" t="s">
        <v>115</v>
      </c>
      <c r="H40" s="8" t="s">
        <v>42</v>
      </c>
      <c r="I40" t="s">
        <v>558</v>
      </c>
      <c r="J40" t="s">
        <v>226</v>
      </c>
      <c r="K40" t="s">
        <v>230</v>
      </c>
      <c r="L40" t="s">
        <v>267</v>
      </c>
      <c r="M40" s="8" t="s">
        <v>304</v>
      </c>
      <c r="N40" s="4">
        <v>0.5</v>
      </c>
      <c r="O40" s="17">
        <v>0.4</v>
      </c>
      <c r="P40" t="s">
        <v>194</v>
      </c>
      <c r="Q40" t="s">
        <v>138</v>
      </c>
      <c r="R40" t="s">
        <v>194</v>
      </c>
      <c r="S40" t="s">
        <v>1</v>
      </c>
      <c r="T40" t="s">
        <v>278</v>
      </c>
    </row>
    <row r="41" spans="1:20" ht="14.25">
      <c r="A41">
        <v>40</v>
      </c>
      <c r="B41" t="s">
        <v>559</v>
      </c>
      <c r="C41" t="s">
        <v>31</v>
      </c>
      <c r="D41" s="3" t="s">
        <v>76</v>
      </c>
      <c r="E41" s="8" t="s">
        <v>78</v>
      </c>
      <c r="F41" s="8" t="s">
        <v>84</v>
      </c>
      <c r="G41" s="8" t="s">
        <v>135</v>
      </c>
      <c r="H41" s="8" t="s">
        <v>142</v>
      </c>
      <c r="I41" t="s">
        <v>560</v>
      </c>
      <c r="J41" t="s">
        <v>226</v>
      </c>
      <c r="K41" t="s">
        <v>230</v>
      </c>
      <c r="L41" t="s">
        <v>243</v>
      </c>
      <c r="M41" s="8" t="s">
        <v>303</v>
      </c>
      <c r="N41" s="4">
        <v>0.85</v>
      </c>
      <c r="O41" s="17">
        <v>0.65</v>
      </c>
      <c r="P41" t="s">
        <v>1</v>
      </c>
      <c r="Q41" t="s">
        <v>194</v>
      </c>
      <c r="R41" t="s">
        <v>278</v>
      </c>
      <c r="S41" t="s">
        <v>194</v>
      </c>
      <c r="T41" t="s">
        <v>194</v>
      </c>
    </row>
    <row r="42" spans="1:20" ht="14.25">
      <c r="A42">
        <v>41</v>
      </c>
      <c r="B42" t="s">
        <v>561</v>
      </c>
      <c r="C42" t="s">
        <v>20</v>
      </c>
      <c r="D42" s="3" t="s">
        <v>143</v>
      </c>
      <c r="E42" s="8" t="s">
        <v>144</v>
      </c>
      <c r="F42" s="8" t="s">
        <v>98</v>
      </c>
      <c r="G42" s="8" t="s">
        <v>133</v>
      </c>
      <c r="H42" s="8" t="s">
        <v>99</v>
      </c>
      <c r="I42" t="s">
        <v>562</v>
      </c>
      <c r="J42" t="s">
        <v>226</v>
      </c>
      <c r="K42" t="s">
        <v>230</v>
      </c>
      <c r="L42" t="s">
        <v>262</v>
      </c>
      <c r="M42" s="8" t="s">
        <v>303</v>
      </c>
      <c r="N42" s="4">
        <v>0.8</v>
      </c>
      <c r="O42" s="17">
        <v>0.6</v>
      </c>
      <c r="P42" t="s">
        <v>1</v>
      </c>
      <c r="Q42" t="s">
        <v>194</v>
      </c>
      <c r="R42" t="s">
        <v>194</v>
      </c>
      <c r="S42" t="s">
        <v>194</v>
      </c>
      <c r="T42" t="s">
        <v>194</v>
      </c>
    </row>
    <row r="43" spans="1:20" ht="14.25">
      <c r="A43">
        <v>42</v>
      </c>
      <c r="B43" t="s">
        <v>563</v>
      </c>
      <c r="C43" t="s">
        <v>31</v>
      </c>
      <c r="D43" s="3" t="s">
        <v>133</v>
      </c>
      <c r="E43" s="8" t="s">
        <v>128</v>
      </c>
      <c r="F43" s="8" t="s">
        <v>115</v>
      </c>
      <c r="G43" s="8" t="s">
        <v>145</v>
      </c>
      <c r="H43" s="8" t="s">
        <v>146</v>
      </c>
      <c r="I43" t="s">
        <v>564</v>
      </c>
      <c r="J43" t="s">
        <v>226</v>
      </c>
      <c r="K43" t="s">
        <v>230</v>
      </c>
      <c r="L43" t="s">
        <v>241</v>
      </c>
      <c r="M43" s="8" t="s">
        <v>303</v>
      </c>
      <c r="N43" s="4">
        <v>0.85</v>
      </c>
      <c r="O43" s="17">
        <v>0.7</v>
      </c>
      <c r="P43" t="s">
        <v>194</v>
      </c>
      <c r="Q43" t="s">
        <v>194</v>
      </c>
      <c r="R43" t="s">
        <v>1</v>
      </c>
      <c r="S43" t="s">
        <v>194</v>
      </c>
      <c r="T43" t="s">
        <v>194</v>
      </c>
    </row>
    <row r="44" spans="1:20" ht="14.25">
      <c r="A44">
        <v>43</v>
      </c>
      <c r="B44" t="s">
        <v>565</v>
      </c>
      <c r="C44" t="s">
        <v>20</v>
      </c>
      <c r="D44" s="7" t="s">
        <v>87</v>
      </c>
      <c r="E44" s="8" t="s">
        <v>147</v>
      </c>
      <c r="F44" s="8" t="s">
        <v>79</v>
      </c>
      <c r="G44" s="8" t="s">
        <v>337</v>
      </c>
      <c r="H44" s="8" t="s">
        <v>42</v>
      </c>
      <c r="I44" t="s">
        <v>566</v>
      </c>
      <c r="J44" t="s">
        <v>226</v>
      </c>
      <c r="K44" t="s">
        <v>231</v>
      </c>
      <c r="L44" t="s">
        <v>242</v>
      </c>
      <c r="M44" s="8" t="s">
        <v>304</v>
      </c>
      <c r="N44" s="4">
        <v>0.7</v>
      </c>
      <c r="O44" s="17">
        <v>0.55000000000000004</v>
      </c>
      <c r="P44" t="s">
        <v>1</v>
      </c>
      <c r="Q44" t="s">
        <v>194</v>
      </c>
      <c r="R44" t="s">
        <v>294</v>
      </c>
      <c r="S44" t="s">
        <v>294</v>
      </c>
      <c r="T44" t="s">
        <v>278</v>
      </c>
    </row>
    <row r="45" spans="1:20" ht="14.25">
      <c r="A45">
        <v>44</v>
      </c>
      <c r="B45" t="s">
        <v>567</v>
      </c>
      <c r="C45" t="s">
        <v>20</v>
      </c>
      <c r="D45" s="7" t="s">
        <v>108</v>
      </c>
      <c r="E45" s="8" t="s">
        <v>79</v>
      </c>
      <c r="F45" s="8" t="s">
        <v>76</v>
      </c>
      <c r="G45" s="8" t="s">
        <v>64</v>
      </c>
      <c r="H45" s="8" t="s">
        <v>42</v>
      </c>
      <c r="I45" t="s">
        <v>568</v>
      </c>
      <c r="J45" t="s">
        <v>226</v>
      </c>
      <c r="K45" t="s">
        <v>230</v>
      </c>
      <c r="L45" t="s">
        <v>287</v>
      </c>
      <c r="M45" s="8" t="s">
        <v>304</v>
      </c>
      <c r="N45" s="4">
        <v>0.4</v>
      </c>
      <c r="O45" s="17">
        <v>0.35</v>
      </c>
      <c r="P45" t="s">
        <v>278</v>
      </c>
      <c r="Q45" t="s">
        <v>194</v>
      </c>
      <c r="R45" t="s">
        <v>1</v>
      </c>
      <c r="S45" t="s">
        <v>194</v>
      </c>
      <c r="T45" t="s">
        <v>278</v>
      </c>
    </row>
    <row r="46" spans="1:20" ht="14.25">
      <c r="A46">
        <v>45</v>
      </c>
      <c r="B46" t="s">
        <v>569</v>
      </c>
      <c r="C46" t="s">
        <v>17</v>
      </c>
      <c r="D46" s="7" t="s">
        <v>87</v>
      </c>
      <c r="E46" s="8" t="s">
        <v>311</v>
      </c>
      <c r="F46" s="8" t="s">
        <v>79</v>
      </c>
      <c r="G46" s="8" t="s">
        <v>42</v>
      </c>
      <c r="H46" s="8" t="s">
        <v>78</v>
      </c>
      <c r="I46" t="s">
        <v>570</v>
      </c>
      <c r="J46" t="s">
        <v>226</v>
      </c>
      <c r="K46" t="s">
        <v>231</v>
      </c>
      <c r="L46" t="s">
        <v>230</v>
      </c>
      <c r="M46" s="8" t="s">
        <v>308</v>
      </c>
      <c r="N46" s="4">
        <v>0.35</v>
      </c>
      <c r="O46" s="17">
        <v>0.3</v>
      </c>
      <c r="P46" t="s">
        <v>278</v>
      </c>
      <c r="Q46" t="s">
        <v>1</v>
      </c>
      <c r="R46" t="s">
        <v>194</v>
      </c>
      <c r="S46" t="s">
        <v>278</v>
      </c>
      <c r="T46" t="s">
        <v>194</v>
      </c>
    </row>
    <row r="47" spans="1:20" ht="14.25">
      <c r="A47">
        <v>46</v>
      </c>
      <c r="B47" t="s">
        <v>571</v>
      </c>
      <c r="C47" t="s">
        <v>44</v>
      </c>
      <c r="D47" s="7" t="s">
        <v>78</v>
      </c>
      <c r="E47" s="8" t="s">
        <v>97</v>
      </c>
      <c r="F47" s="8" t="s">
        <v>128</v>
      </c>
      <c r="G47" s="8" t="s">
        <v>99</v>
      </c>
      <c r="H47" s="8" t="s">
        <v>148</v>
      </c>
      <c r="I47" t="s">
        <v>572</v>
      </c>
      <c r="J47" t="s">
        <v>227</v>
      </c>
      <c r="K47" t="s">
        <v>280</v>
      </c>
      <c r="L47" t="s">
        <v>243</v>
      </c>
      <c r="M47" s="8" t="s">
        <v>303</v>
      </c>
      <c r="N47" s="4">
        <v>0.8</v>
      </c>
      <c r="O47" s="17">
        <v>0.65</v>
      </c>
      <c r="P47" t="s">
        <v>277</v>
      </c>
      <c r="Q47" t="s">
        <v>277</v>
      </c>
      <c r="R47" t="s">
        <v>277</v>
      </c>
      <c r="S47" t="s">
        <v>1</v>
      </c>
      <c r="T47" t="s">
        <v>277</v>
      </c>
    </row>
    <row r="48" spans="1:20" ht="14.25">
      <c r="A48">
        <v>47</v>
      </c>
      <c r="B48" t="s">
        <v>573</v>
      </c>
      <c r="C48" t="s">
        <v>17</v>
      </c>
      <c r="D48" s="7" t="s">
        <v>79</v>
      </c>
      <c r="E48" s="8" t="s">
        <v>75</v>
      </c>
      <c r="F48" s="8" t="s">
        <v>76</v>
      </c>
      <c r="G48" s="8" t="s">
        <v>77</v>
      </c>
      <c r="H48" s="8" t="s">
        <v>149</v>
      </c>
      <c r="I48" t="s">
        <v>574</v>
      </c>
      <c r="J48" t="s">
        <v>227</v>
      </c>
      <c r="K48" t="s">
        <v>280</v>
      </c>
      <c r="L48" t="s">
        <v>243</v>
      </c>
      <c r="M48" s="8" t="s">
        <v>303</v>
      </c>
      <c r="N48" s="4">
        <v>0.75</v>
      </c>
      <c r="O48" s="17">
        <v>0.6</v>
      </c>
      <c r="P48" t="s">
        <v>277</v>
      </c>
      <c r="Q48" t="s">
        <v>1</v>
      </c>
      <c r="R48" t="s">
        <v>277</v>
      </c>
      <c r="S48" t="s">
        <v>277</v>
      </c>
      <c r="T48" t="s">
        <v>277</v>
      </c>
    </row>
    <row r="49" spans="1:20" ht="14.25">
      <c r="A49">
        <v>48</v>
      </c>
      <c r="B49" t="s">
        <v>575</v>
      </c>
      <c r="C49" t="s">
        <v>17</v>
      </c>
      <c r="D49" s="7" t="s">
        <v>87</v>
      </c>
      <c r="E49" s="8" t="s">
        <v>320</v>
      </c>
      <c r="F49" s="8" t="s">
        <v>79</v>
      </c>
      <c r="G49" s="8" t="s">
        <v>150</v>
      </c>
      <c r="H49" s="8" t="s">
        <v>42</v>
      </c>
      <c r="I49" t="s">
        <v>576</v>
      </c>
      <c r="J49" t="s">
        <v>226</v>
      </c>
      <c r="K49" t="s">
        <v>230</v>
      </c>
      <c r="L49" t="s">
        <v>243</v>
      </c>
      <c r="M49" s="8" t="s">
        <v>303</v>
      </c>
      <c r="N49" s="4">
        <v>0.8</v>
      </c>
      <c r="O49" s="17">
        <v>0.6</v>
      </c>
      <c r="P49" t="s">
        <v>194</v>
      </c>
      <c r="Q49" t="s">
        <v>1</v>
      </c>
      <c r="R49" t="s">
        <v>194</v>
      </c>
      <c r="S49" t="s">
        <v>278</v>
      </c>
      <c r="T49" t="s">
        <v>278</v>
      </c>
    </row>
    <row r="50" spans="1:20" ht="14.25">
      <c r="A50">
        <v>49</v>
      </c>
      <c r="B50" t="s">
        <v>577</v>
      </c>
      <c r="C50" t="s">
        <v>31</v>
      </c>
      <c r="D50" s="7" t="s">
        <v>87</v>
      </c>
      <c r="E50" s="8" t="s">
        <v>321</v>
      </c>
      <c r="F50" s="8" t="s">
        <v>328</v>
      </c>
      <c r="G50" s="8" t="s">
        <v>338</v>
      </c>
      <c r="H50" s="8" t="s">
        <v>79</v>
      </c>
      <c r="I50" t="s">
        <v>578</v>
      </c>
      <c r="J50" t="s">
        <v>226</v>
      </c>
      <c r="K50" t="s">
        <v>230</v>
      </c>
      <c r="L50" t="s">
        <v>270</v>
      </c>
      <c r="M50" s="8" t="s">
        <v>303</v>
      </c>
      <c r="N50" s="4">
        <v>0.75</v>
      </c>
      <c r="O50" s="17">
        <v>0.55000000000000004</v>
      </c>
      <c r="P50" t="s">
        <v>194</v>
      </c>
      <c r="Q50" t="s">
        <v>194</v>
      </c>
      <c r="R50" t="s">
        <v>1</v>
      </c>
      <c r="S50" t="s">
        <v>194</v>
      </c>
      <c r="T50" t="s">
        <v>194</v>
      </c>
    </row>
    <row r="51" spans="1:20" ht="14.25">
      <c r="A51">
        <v>50</v>
      </c>
      <c r="B51" t="s">
        <v>579</v>
      </c>
      <c r="C51" t="s">
        <v>31</v>
      </c>
      <c r="D51" s="7" t="s">
        <v>76</v>
      </c>
      <c r="E51" s="8" t="s">
        <v>77</v>
      </c>
      <c r="F51" s="8" t="s">
        <v>97</v>
      </c>
      <c r="G51" s="8" t="s">
        <v>128</v>
      </c>
      <c r="H51" s="8" t="s">
        <v>115</v>
      </c>
      <c r="I51" t="s">
        <v>580</v>
      </c>
      <c r="J51" t="s">
        <v>226</v>
      </c>
      <c r="K51" t="s">
        <v>230</v>
      </c>
      <c r="L51" t="s">
        <v>243</v>
      </c>
      <c r="M51" s="8" t="s">
        <v>303</v>
      </c>
      <c r="N51" s="4">
        <v>0.7</v>
      </c>
      <c r="O51" s="17">
        <v>0.55000000000000004</v>
      </c>
      <c r="P51" t="s">
        <v>194</v>
      </c>
      <c r="Q51" t="s">
        <v>256</v>
      </c>
      <c r="R51" t="s">
        <v>1</v>
      </c>
      <c r="S51" t="s">
        <v>194</v>
      </c>
      <c r="T51" t="s">
        <v>194</v>
      </c>
    </row>
    <row r="52" spans="1:20" ht="14.25">
      <c r="A52">
        <v>51</v>
      </c>
      <c r="B52" t="s">
        <v>581</v>
      </c>
      <c r="C52" t="s">
        <v>44</v>
      </c>
      <c r="D52" s="7" t="s">
        <v>78</v>
      </c>
      <c r="E52" s="8" t="s">
        <v>84</v>
      </c>
      <c r="F52" s="8" t="s">
        <v>128</v>
      </c>
      <c r="G52" s="8" t="s">
        <v>135</v>
      </c>
      <c r="H52" s="8" t="s">
        <v>142</v>
      </c>
      <c r="I52" t="s">
        <v>582</v>
      </c>
      <c r="J52" t="s">
        <v>228</v>
      </c>
      <c r="K52" t="s">
        <v>235</v>
      </c>
      <c r="L52" t="s">
        <v>250</v>
      </c>
      <c r="M52" s="8" t="s">
        <v>306</v>
      </c>
      <c r="N52" s="4">
        <v>0.85</v>
      </c>
      <c r="O52" s="17">
        <v>0.65</v>
      </c>
      <c r="P52" t="s">
        <v>194</v>
      </c>
      <c r="Q52" t="s">
        <v>194</v>
      </c>
      <c r="R52" t="s">
        <v>194</v>
      </c>
      <c r="S52" t="s">
        <v>1</v>
      </c>
      <c r="T52" t="s">
        <v>194</v>
      </c>
    </row>
    <row r="53" spans="1:20" ht="14.25">
      <c r="A53">
        <v>52</v>
      </c>
      <c r="B53" t="s">
        <v>583</v>
      </c>
      <c r="C53" t="s">
        <v>31</v>
      </c>
      <c r="D53" s="7" t="s">
        <v>78</v>
      </c>
      <c r="E53" s="8" t="s">
        <v>97</v>
      </c>
      <c r="F53" s="8" t="s">
        <v>84</v>
      </c>
      <c r="G53" s="8" t="s">
        <v>128</v>
      </c>
      <c r="H53" s="8" t="s">
        <v>42</v>
      </c>
      <c r="I53" t="s">
        <v>584</v>
      </c>
      <c r="J53" t="s">
        <v>228</v>
      </c>
      <c r="K53" t="s">
        <v>235</v>
      </c>
      <c r="L53" t="s">
        <v>236</v>
      </c>
      <c r="M53" s="8" t="s">
        <v>303</v>
      </c>
      <c r="N53" s="4">
        <v>0.8</v>
      </c>
      <c r="O53" s="17">
        <v>0.6</v>
      </c>
      <c r="P53" t="s">
        <v>194</v>
      </c>
      <c r="Q53" t="s">
        <v>194</v>
      </c>
      <c r="R53" t="s">
        <v>1</v>
      </c>
      <c r="S53" t="s">
        <v>194</v>
      </c>
      <c r="T53" t="s">
        <v>278</v>
      </c>
    </row>
    <row r="54" spans="1:20" ht="14.25">
      <c r="A54">
        <v>53</v>
      </c>
      <c r="B54" t="s">
        <v>585</v>
      </c>
      <c r="C54" t="s">
        <v>31</v>
      </c>
      <c r="D54" s="7" t="s">
        <v>78</v>
      </c>
      <c r="E54" s="8" t="s">
        <v>97</v>
      </c>
      <c r="F54" s="8" t="s">
        <v>84</v>
      </c>
      <c r="G54" s="8" t="s">
        <v>128</v>
      </c>
      <c r="H54" s="8" t="s">
        <v>135</v>
      </c>
      <c r="I54" t="s">
        <v>586</v>
      </c>
      <c r="J54" t="s">
        <v>228</v>
      </c>
      <c r="K54" t="s">
        <v>235</v>
      </c>
      <c r="L54" t="s">
        <v>265</v>
      </c>
      <c r="M54" s="8" t="s">
        <v>306</v>
      </c>
      <c r="N54" s="4">
        <v>0.9</v>
      </c>
      <c r="O54" s="17">
        <v>0.7</v>
      </c>
      <c r="P54" t="s">
        <v>277</v>
      </c>
      <c r="Q54" t="s">
        <v>277</v>
      </c>
      <c r="R54" t="s">
        <v>1</v>
      </c>
      <c r="S54" t="s">
        <v>277</v>
      </c>
      <c r="T54" t="s">
        <v>277</v>
      </c>
    </row>
    <row r="55" spans="1:20" ht="14.25">
      <c r="A55">
        <v>54</v>
      </c>
      <c r="B55" t="s">
        <v>587</v>
      </c>
      <c r="C55" t="s">
        <v>44</v>
      </c>
      <c r="D55" s="7" t="s">
        <v>128</v>
      </c>
      <c r="E55" s="8" t="s">
        <v>135</v>
      </c>
      <c r="F55" s="8" t="s">
        <v>99</v>
      </c>
      <c r="G55" s="8" t="s">
        <v>142</v>
      </c>
      <c r="H55" s="8" t="s">
        <v>115</v>
      </c>
      <c r="I55" t="s">
        <v>588</v>
      </c>
      <c r="J55" t="s">
        <v>228</v>
      </c>
      <c r="K55" t="s">
        <v>235</v>
      </c>
      <c r="L55" t="s">
        <v>265</v>
      </c>
      <c r="M55" s="8" t="s">
        <v>303</v>
      </c>
      <c r="N55" s="4">
        <v>0.75</v>
      </c>
      <c r="O55" s="17">
        <v>0.6</v>
      </c>
      <c r="P55" t="s">
        <v>194</v>
      </c>
      <c r="Q55" t="s">
        <v>194</v>
      </c>
      <c r="R55" t="s">
        <v>194</v>
      </c>
      <c r="S55" t="s">
        <v>1</v>
      </c>
      <c r="T55" t="s">
        <v>194</v>
      </c>
    </row>
    <row r="56" spans="1:20" ht="14.25">
      <c r="A56">
        <v>55</v>
      </c>
      <c r="B56" t="s">
        <v>589</v>
      </c>
      <c r="C56" t="s">
        <v>31</v>
      </c>
      <c r="D56" s="7" t="s">
        <v>115</v>
      </c>
      <c r="E56" s="8" t="s">
        <v>151</v>
      </c>
      <c r="F56" s="8" t="s">
        <v>152</v>
      </c>
      <c r="G56" s="8" t="s">
        <v>116</v>
      </c>
      <c r="H56" s="8" t="s">
        <v>87</v>
      </c>
      <c r="I56" t="s">
        <v>590</v>
      </c>
      <c r="J56" t="s">
        <v>227</v>
      </c>
      <c r="K56" t="s">
        <v>280</v>
      </c>
      <c r="L56" t="s">
        <v>250</v>
      </c>
      <c r="M56" s="8" t="s">
        <v>303</v>
      </c>
      <c r="N56" s="4">
        <v>0.85</v>
      </c>
      <c r="O56" s="17">
        <v>0.65</v>
      </c>
      <c r="P56" t="s">
        <v>277</v>
      </c>
      <c r="Q56" t="s">
        <v>277</v>
      </c>
      <c r="R56" t="s">
        <v>1</v>
      </c>
      <c r="S56" t="s">
        <v>277</v>
      </c>
      <c r="T56" t="s">
        <v>277</v>
      </c>
    </row>
    <row r="57" spans="1:20" ht="14.25">
      <c r="A57">
        <v>56</v>
      </c>
      <c r="B57" t="s">
        <v>591</v>
      </c>
      <c r="C57" t="s">
        <v>17</v>
      </c>
      <c r="D57" s="7" t="s">
        <v>83</v>
      </c>
      <c r="E57" s="8" t="s">
        <v>87</v>
      </c>
      <c r="F57" s="8" t="s">
        <v>79</v>
      </c>
      <c r="G57" s="8" t="s">
        <v>75</v>
      </c>
      <c r="H57" s="8" t="s">
        <v>76</v>
      </c>
      <c r="I57" t="s">
        <v>592</v>
      </c>
      <c r="J57" t="s">
        <v>228</v>
      </c>
      <c r="K57" t="s">
        <v>234</v>
      </c>
      <c r="L57" t="s">
        <v>250</v>
      </c>
      <c r="M57" s="8" t="s">
        <v>304</v>
      </c>
      <c r="N57" s="4">
        <v>0.6</v>
      </c>
      <c r="O57" s="17">
        <v>0.45</v>
      </c>
      <c r="P57" t="s">
        <v>194</v>
      </c>
      <c r="Q57" t="s">
        <v>1</v>
      </c>
      <c r="R57" t="s">
        <v>194</v>
      </c>
      <c r="S57" t="s">
        <v>194</v>
      </c>
      <c r="T57" t="s">
        <v>194</v>
      </c>
    </row>
    <row r="58" spans="1:20" ht="14.25">
      <c r="A58">
        <v>57</v>
      </c>
      <c r="B58" t="s">
        <v>153</v>
      </c>
      <c r="C58" t="s">
        <v>31</v>
      </c>
      <c r="D58" s="7" t="s">
        <v>75</v>
      </c>
      <c r="E58" s="8" t="s">
        <v>322</v>
      </c>
      <c r="F58" s="8" t="s">
        <v>329</v>
      </c>
      <c r="G58" s="8" t="s">
        <v>77</v>
      </c>
      <c r="H58" s="8" t="s">
        <v>318</v>
      </c>
      <c r="I58" t="s">
        <v>593</v>
      </c>
      <c r="J58" t="s">
        <v>367</v>
      </c>
      <c r="K58" t="s">
        <v>239</v>
      </c>
      <c r="L58" t="s">
        <v>292</v>
      </c>
      <c r="M58" s="8" t="s">
        <v>303</v>
      </c>
      <c r="N58" s="4">
        <v>0.75</v>
      </c>
      <c r="O58" s="17">
        <v>0.55000000000000004</v>
      </c>
      <c r="P58" t="s">
        <v>194</v>
      </c>
      <c r="Q58" t="s">
        <v>278</v>
      </c>
      <c r="R58" t="s">
        <v>1</v>
      </c>
      <c r="S58" t="s">
        <v>194</v>
      </c>
      <c r="T58" t="s">
        <v>194</v>
      </c>
    </row>
    <row r="59" spans="1:20" ht="14.25">
      <c r="A59">
        <v>58</v>
      </c>
      <c r="B59" t="s">
        <v>594</v>
      </c>
      <c r="C59" t="s">
        <v>31</v>
      </c>
      <c r="D59" s="7" t="s">
        <v>314</v>
      </c>
      <c r="E59" s="8" t="s">
        <v>323</v>
      </c>
      <c r="F59" s="8" t="s">
        <v>330</v>
      </c>
      <c r="G59" s="8" t="s">
        <v>339</v>
      </c>
      <c r="H59" s="8" t="s">
        <v>344</v>
      </c>
      <c r="I59" t="s">
        <v>595</v>
      </c>
      <c r="J59" t="s">
        <v>228</v>
      </c>
      <c r="K59" t="s">
        <v>235</v>
      </c>
      <c r="L59" t="s">
        <v>251</v>
      </c>
      <c r="M59" s="8" t="s">
        <v>304</v>
      </c>
      <c r="N59" s="4">
        <v>0.7</v>
      </c>
      <c r="O59" s="17">
        <v>0.6</v>
      </c>
      <c r="P59" t="s">
        <v>194</v>
      </c>
      <c r="Q59" t="s">
        <v>194</v>
      </c>
      <c r="R59" t="s">
        <v>1</v>
      </c>
      <c r="S59" t="s">
        <v>194</v>
      </c>
      <c r="T59" t="s">
        <v>194</v>
      </c>
    </row>
    <row r="60" spans="1:20" ht="14.25">
      <c r="A60">
        <v>59</v>
      </c>
      <c r="B60" t="s">
        <v>596</v>
      </c>
      <c r="C60" t="s">
        <v>20</v>
      </c>
      <c r="D60" s="7" t="s">
        <v>154</v>
      </c>
      <c r="E60" s="8" t="s">
        <v>155</v>
      </c>
      <c r="F60" s="8" t="s">
        <v>156</v>
      </c>
      <c r="G60" s="8" t="s">
        <v>157</v>
      </c>
      <c r="H60" s="8" t="s">
        <v>158</v>
      </c>
      <c r="I60" t="s">
        <v>597</v>
      </c>
      <c r="J60" t="s">
        <v>228</v>
      </c>
      <c r="K60" t="s">
        <v>234</v>
      </c>
      <c r="L60" t="s">
        <v>250</v>
      </c>
      <c r="M60" s="8" t="s">
        <v>308</v>
      </c>
      <c r="N60" s="4">
        <v>0.2</v>
      </c>
      <c r="O60" s="17">
        <v>0.3</v>
      </c>
      <c r="P60" t="s">
        <v>1</v>
      </c>
      <c r="Q60" t="s">
        <v>299</v>
      </c>
      <c r="R60" t="s">
        <v>297</v>
      </c>
      <c r="S60" t="s">
        <v>259</v>
      </c>
      <c r="T60" t="s">
        <v>259</v>
      </c>
    </row>
    <row r="61" spans="1:20" ht="14.25">
      <c r="A61">
        <v>60</v>
      </c>
      <c r="B61" t="s">
        <v>598</v>
      </c>
      <c r="C61" t="s">
        <v>20</v>
      </c>
      <c r="D61" s="7" t="s">
        <v>159</v>
      </c>
      <c r="E61" s="8" t="s">
        <v>160</v>
      </c>
      <c r="F61" s="8" t="s">
        <v>161</v>
      </c>
      <c r="G61" s="8" t="s">
        <v>162</v>
      </c>
      <c r="H61" s="8" t="s">
        <v>163</v>
      </c>
      <c r="I61" t="s">
        <v>599</v>
      </c>
      <c r="J61" t="s">
        <v>228</v>
      </c>
      <c r="K61" t="s">
        <v>234</v>
      </c>
      <c r="L61" t="s">
        <v>250</v>
      </c>
      <c r="M61" s="8" t="s">
        <v>304</v>
      </c>
      <c r="N61" s="4">
        <v>0.4</v>
      </c>
      <c r="O61" s="17">
        <v>0.4</v>
      </c>
      <c r="P61" t="s">
        <v>1</v>
      </c>
      <c r="Q61" t="s">
        <v>259</v>
      </c>
      <c r="R61" t="s">
        <v>299</v>
      </c>
      <c r="S61" t="s">
        <v>299</v>
      </c>
      <c r="T61" t="s">
        <v>259</v>
      </c>
    </row>
    <row r="62" spans="1:20" ht="14.25">
      <c r="A62">
        <v>61</v>
      </c>
      <c r="B62" t="s">
        <v>164</v>
      </c>
      <c r="C62" t="s">
        <v>17</v>
      </c>
      <c r="D62" s="7" t="s">
        <v>315</v>
      </c>
      <c r="E62" s="8" t="s">
        <v>324</v>
      </c>
      <c r="F62" s="8" t="s">
        <v>331</v>
      </c>
      <c r="G62" s="8" t="s">
        <v>338</v>
      </c>
      <c r="H62" s="8" t="s">
        <v>79</v>
      </c>
      <c r="I62" t="s">
        <v>600</v>
      </c>
      <c r="J62" t="s">
        <v>367</v>
      </c>
      <c r="K62" t="s">
        <v>239</v>
      </c>
      <c r="L62" t="s">
        <v>292</v>
      </c>
      <c r="M62" s="8" t="s">
        <v>304</v>
      </c>
      <c r="N62" s="4">
        <v>0.5</v>
      </c>
      <c r="O62" s="17">
        <v>0.45</v>
      </c>
      <c r="P62" t="s">
        <v>194</v>
      </c>
      <c r="Q62" t="s">
        <v>1</v>
      </c>
      <c r="R62" t="s">
        <v>194</v>
      </c>
      <c r="S62" t="s">
        <v>194</v>
      </c>
      <c r="T62" t="s">
        <v>194</v>
      </c>
    </row>
    <row r="63" spans="1:20" ht="14.25">
      <c r="A63">
        <v>62</v>
      </c>
      <c r="B63" t="s">
        <v>601</v>
      </c>
      <c r="C63" t="s">
        <v>31</v>
      </c>
      <c r="D63" s="7" t="s">
        <v>165</v>
      </c>
      <c r="E63" s="8" t="s">
        <v>166</v>
      </c>
      <c r="F63" s="8" t="s">
        <v>137</v>
      </c>
      <c r="G63" s="8" t="s">
        <v>167</v>
      </c>
      <c r="H63" s="8" t="s">
        <v>42</v>
      </c>
      <c r="I63" t="s">
        <v>602</v>
      </c>
      <c r="J63" t="s">
        <v>228</v>
      </c>
      <c r="K63" t="s">
        <v>235</v>
      </c>
      <c r="L63" t="s">
        <v>285</v>
      </c>
      <c r="M63" s="8" t="s">
        <v>308</v>
      </c>
      <c r="N63" s="4">
        <v>0.35</v>
      </c>
      <c r="O63" s="17">
        <v>0.4</v>
      </c>
      <c r="P63" t="s">
        <v>194</v>
      </c>
      <c r="Q63" t="s">
        <v>278</v>
      </c>
      <c r="R63" t="s">
        <v>1</v>
      </c>
      <c r="S63" t="s">
        <v>194</v>
      </c>
      <c r="T63" t="s">
        <v>278</v>
      </c>
    </row>
    <row r="64" spans="1:20" ht="14.25">
      <c r="A64">
        <v>63</v>
      </c>
      <c r="B64" t="s">
        <v>603</v>
      </c>
      <c r="C64" t="s">
        <v>20</v>
      </c>
      <c r="D64" s="7" t="s">
        <v>168</v>
      </c>
      <c r="E64" s="8" t="s">
        <v>169</v>
      </c>
      <c r="F64" s="8" t="s">
        <v>170</v>
      </c>
      <c r="G64" s="8" t="s">
        <v>171</v>
      </c>
      <c r="H64" s="8" t="s">
        <v>172</v>
      </c>
      <c r="I64" t="s">
        <v>604</v>
      </c>
      <c r="J64" t="s">
        <v>227</v>
      </c>
      <c r="K64" t="s">
        <v>266</v>
      </c>
      <c r="L64" t="s">
        <v>246</v>
      </c>
      <c r="M64" s="8" t="s">
        <v>303</v>
      </c>
      <c r="N64" s="4">
        <v>0.8</v>
      </c>
      <c r="O64" s="17">
        <v>0.65</v>
      </c>
      <c r="P64" t="s">
        <v>1</v>
      </c>
      <c r="Q64" t="s">
        <v>277</v>
      </c>
      <c r="R64" t="s">
        <v>277</v>
      </c>
      <c r="S64" t="s">
        <v>277</v>
      </c>
      <c r="T64" t="s">
        <v>277</v>
      </c>
    </row>
    <row r="65" spans="1:20" ht="14.25">
      <c r="A65">
        <v>64</v>
      </c>
      <c r="B65" t="s">
        <v>605</v>
      </c>
      <c r="C65" t="s">
        <v>17</v>
      </c>
      <c r="D65" s="7" t="s">
        <v>173</v>
      </c>
      <c r="E65" s="8" t="s">
        <v>174</v>
      </c>
      <c r="F65" s="8" t="s">
        <v>175</v>
      </c>
      <c r="G65" s="8" t="s">
        <v>176</v>
      </c>
      <c r="H65" s="8" t="s">
        <v>42</v>
      </c>
      <c r="I65" t="s">
        <v>606</v>
      </c>
      <c r="J65" t="s">
        <v>227</v>
      </c>
      <c r="K65" t="s">
        <v>367</v>
      </c>
      <c r="L65" t="s">
        <v>276</v>
      </c>
      <c r="M65" s="8" t="s">
        <v>303</v>
      </c>
      <c r="N65" s="4">
        <v>0.75</v>
      </c>
      <c r="O65" s="17">
        <v>0.6</v>
      </c>
      <c r="P65" t="s">
        <v>278</v>
      </c>
      <c r="Q65" t="s">
        <v>1</v>
      </c>
      <c r="R65" t="s">
        <v>278</v>
      </c>
      <c r="S65" t="s">
        <v>278</v>
      </c>
      <c r="T65" t="s">
        <v>278</v>
      </c>
    </row>
    <row r="66" spans="1:20" ht="14.25">
      <c r="A66">
        <v>65</v>
      </c>
      <c r="B66" t="s">
        <v>607</v>
      </c>
      <c r="C66" t="s">
        <v>17</v>
      </c>
      <c r="D66" s="7" t="s">
        <v>63</v>
      </c>
      <c r="E66" s="8" t="s">
        <v>177</v>
      </c>
      <c r="F66" s="8" t="s">
        <v>178</v>
      </c>
      <c r="G66" s="8" t="s">
        <v>78</v>
      </c>
      <c r="H66" s="8" t="s">
        <v>77</v>
      </c>
      <c r="I66" t="s">
        <v>608</v>
      </c>
      <c r="J66" t="s">
        <v>227</v>
      </c>
      <c r="K66" t="s">
        <v>266</v>
      </c>
      <c r="L66" t="s">
        <v>285</v>
      </c>
      <c r="M66" s="8" t="s">
        <v>303</v>
      </c>
      <c r="N66" s="4">
        <v>0.85</v>
      </c>
      <c r="O66" s="17">
        <v>0.7</v>
      </c>
      <c r="P66" t="s">
        <v>194</v>
      </c>
      <c r="Q66" t="s">
        <v>1</v>
      </c>
      <c r="R66" t="s">
        <v>194</v>
      </c>
      <c r="S66" t="s">
        <v>278</v>
      </c>
      <c r="T66" t="s">
        <v>194</v>
      </c>
    </row>
    <row r="67" spans="1:20" ht="14.25">
      <c r="A67">
        <v>66</v>
      </c>
      <c r="B67" t="s">
        <v>609</v>
      </c>
      <c r="C67" t="s">
        <v>31</v>
      </c>
      <c r="D67" s="7" t="s">
        <v>99</v>
      </c>
      <c r="E67" s="8" t="s">
        <v>179</v>
      </c>
      <c r="F67" s="8" t="s">
        <v>145</v>
      </c>
      <c r="G67" s="8" t="s">
        <v>146</v>
      </c>
      <c r="H67" s="8" t="s">
        <v>180</v>
      </c>
      <c r="I67" t="s">
        <v>610</v>
      </c>
      <c r="J67" t="s">
        <v>227</v>
      </c>
      <c r="K67" t="s">
        <v>245</v>
      </c>
      <c r="L67" t="s">
        <v>247</v>
      </c>
      <c r="M67" s="8" t="s">
        <v>304</v>
      </c>
      <c r="N67" s="4">
        <v>0.7</v>
      </c>
      <c r="O67" s="17">
        <v>0.55000000000000004</v>
      </c>
      <c r="P67" t="s">
        <v>194</v>
      </c>
      <c r="Q67" t="s">
        <v>194</v>
      </c>
      <c r="R67" t="s">
        <v>1</v>
      </c>
      <c r="S67" t="s">
        <v>194</v>
      </c>
      <c r="T67" t="s">
        <v>194</v>
      </c>
    </row>
    <row r="68" spans="1:20" ht="14.25">
      <c r="A68">
        <v>67</v>
      </c>
      <c r="B68" t="s">
        <v>611</v>
      </c>
      <c r="C68" t="s">
        <v>17</v>
      </c>
      <c r="D68" s="7" t="s">
        <v>181</v>
      </c>
      <c r="E68" s="8" t="s">
        <v>182</v>
      </c>
      <c r="F68" s="8" t="s">
        <v>183</v>
      </c>
      <c r="G68" s="8" t="s">
        <v>184</v>
      </c>
      <c r="H68" s="8" t="s">
        <v>185</v>
      </c>
      <c r="I68" t="s">
        <v>612</v>
      </c>
      <c r="J68" t="s">
        <v>227</v>
      </c>
      <c r="K68" t="s">
        <v>288</v>
      </c>
      <c r="L68" t="s">
        <v>249</v>
      </c>
      <c r="M68" s="8" t="s">
        <v>304</v>
      </c>
      <c r="N68" s="4">
        <v>0.65</v>
      </c>
      <c r="O68" s="17">
        <v>0.55000000000000004</v>
      </c>
      <c r="P68" t="s">
        <v>256</v>
      </c>
      <c r="Q68" t="s">
        <v>1</v>
      </c>
      <c r="R68" t="s">
        <v>194</v>
      </c>
      <c r="S68" t="s">
        <v>138</v>
      </c>
      <c r="T68" t="s">
        <v>194</v>
      </c>
    </row>
    <row r="69" spans="1:20" ht="14.25">
      <c r="A69">
        <v>68</v>
      </c>
      <c r="B69" t="s">
        <v>360</v>
      </c>
      <c r="C69" t="s">
        <v>31</v>
      </c>
      <c r="D69" s="7" t="s">
        <v>184</v>
      </c>
      <c r="E69" s="8" t="s">
        <v>186</v>
      </c>
      <c r="F69" s="8" t="s">
        <v>187</v>
      </c>
      <c r="G69" s="8" t="s">
        <v>165</v>
      </c>
      <c r="H69" s="8" t="s">
        <v>188</v>
      </c>
      <c r="I69" t="s">
        <v>613</v>
      </c>
      <c r="J69" t="s">
        <v>227</v>
      </c>
      <c r="K69" t="s">
        <v>282</v>
      </c>
      <c r="L69" t="s">
        <v>247</v>
      </c>
      <c r="M69" s="8" t="s">
        <v>303</v>
      </c>
      <c r="N69" s="4">
        <v>0.8</v>
      </c>
      <c r="O69" s="17">
        <v>0.6</v>
      </c>
      <c r="P69" t="s">
        <v>278</v>
      </c>
      <c r="Q69" t="s">
        <v>271</v>
      </c>
      <c r="R69" t="s">
        <v>1</v>
      </c>
      <c r="S69" t="s">
        <v>194</v>
      </c>
      <c r="T69" t="s">
        <v>194</v>
      </c>
    </row>
    <row r="70" spans="1:20" ht="14.25">
      <c r="A70">
        <v>69</v>
      </c>
      <c r="B70" t="s">
        <v>614</v>
      </c>
      <c r="C70" t="s">
        <v>44</v>
      </c>
      <c r="D70" s="7" t="s">
        <v>189</v>
      </c>
      <c r="E70" s="8" t="s">
        <v>190</v>
      </c>
      <c r="F70" s="8" t="s">
        <v>191</v>
      </c>
      <c r="G70" s="8" t="s">
        <v>192</v>
      </c>
      <c r="H70" s="8" t="s">
        <v>193</v>
      </c>
      <c r="I70" t="s">
        <v>615</v>
      </c>
      <c r="J70" t="s">
        <v>227</v>
      </c>
      <c r="K70" t="s">
        <v>247</v>
      </c>
      <c r="L70" t="s">
        <v>265</v>
      </c>
      <c r="M70" s="8" t="s">
        <v>304</v>
      </c>
      <c r="N70" s="4">
        <v>0.45</v>
      </c>
      <c r="O70" s="17">
        <v>0.4</v>
      </c>
      <c r="P70" t="s">
        <v>256</v>
      </c>
      <c r="Q70" t="s">
        <v>256</v>
      </c>
      <c r="R70" t="s">
        <v>271</v>
      </c>
      <c r="S70" t="s">
        <v>1</v>
      </c>
      <c r="T70" t="s">
        <v>194</v>
      </c>
    </row>
    <row r="71" spans="1:20" ht="12.75">
      <c r="A71">
        <v>70</v>
      </c>
      <c r="B71" t="s">
        <v>616</v>
      </c>
      <c r="C71" t="s">
        <v>44</v>
      </c>
      <c r="D71" s="9" t="s">
        <v>195</v>
      </c>
      <c r="E71" s="9" t="s">
        <v>196</v>
      </c>
      <c r="F71" s="9" t="s">
        <v>197</v>
      </c>
      <c r="G71" s="9" t="s">
        <v>198</v>
      </c>
      <c r="H71" s="9" t="s">
        <v>199</v>
      </c>
      <c r="I71" t="s">
        <v>617</v>
      </c>
      <c r="J71" t="s">
        <v>227</v>
      </c>
      <c r="K71" t="s">
        <v>280</v>
      </c>
      <c r="L71" t="s">
        <v>283</v>
      </c>
      <c r="M71" s="9" t="s">
        <v>303</v>
      </c>
      <c r="N71" s="11">
        <v>0.75</v>
      </c>
      <c r="O71" s="9">
        <v>0.6</v>
      </c>
      <c r="P71" t="s">
        <v>278</v>
      </c>
      <c r="Q71" t="s">
        <v>278</v>
      </c>
      <c r="R71" t="s">
        <v>278</v>
      </c>
      <c r="S71" t="s">
        <v>1</v>
      </c>
      <c r="T71" t="s">
        <v>278</v>
      </c>
    </row>
    <row r="72" spans="1:20" ht="12.75">
      <c r="A72">
        <v>71</v>
      </c>
      <c r="B72" t="s">
        <v>618</v>
      </c>
      <c r="C72" t="s">
        <v>44</v>
      </c>
      <c r="D72" s="9" t="s">
        <v>189</v>
      </c>
      <c r="E72" s="18" t="s">
        <v>190</v>
      </c>
      <c r="F72" s="18" t="s">
        <v>191</v>
      </c>
      <c r="G72" s="9" t="s">
        <v>192</v>
      </c>
      <c r="H72" s="9" t="s">
        <v>193</v>
      </c>
      <c r="I72" t="s">
        <v>619</v>
      </c>
      <c r="J72" t="s">
        <v>227</v>
      </c>
      <c r="K72" t="s">
        <v>247</v>
      </c>
      <c r="L72" t="s">
        <v>265</v>
      </c>
      <c r="M72" s="9" t="s">
        <v>304</v>
      </c>
      <c r="N72" s="11">
        <v>0.45</v>
      </c>
      <c r="O72" s="9">
        <v>0.4</v>
      </c>
      <c r="P72" t="s">
        <v>256</v>
      </c>
      <c r="Q72" t="s">
        <v>256</v>
      </c>
      <c r="R72" t="s">
        <v>271</v>
      </c>
      <c r="S72" t="s">
        <v>1</v>
      </c>
      <c r="T72" t="s">
        <v>194</v>
      </c>
    </row>
    <row r="73" spans="1:20" ht="12.75">
      <c r="A73">
        <v>72</v>
      </c>
      <c r="B73" t="s">
        <v>620</v>
      </c>
      <c r="C73" t="s">
        <v>20</v>
      </c>
      <c r="D73" s="9" t="s">
        <v>200</v>
      </c>
      <c r="E73" s="18" t="s">
        <v>64</v>
      </c>
      <c r="F73" s="18" t="s">
        <v>76</v>
      </c>
      <c r="G73" s="18" t="s">
        <v>135</v>
      </c>
      <c r="H73" s="18" t="s">
        <v>201</v>
      </c>
      <c r="I73" t="s">
        <v>621</v>
      </c>
      <c r="J73" t="s">
        <v>227</v>
      </c>
      <c r="K73" t="s">
        <v>266</v>
      </c>
      <c r="L73" t="s">
        <v>285</v>
      </c>
      <c r="M73" s="9" t="s">
        <v>303</v>
      </c>
      <c r="N73" s="11">
        <v>0.8</v>
      </c>
      <c r="O73" s="9">
        <v>0.65</v>
      </c>
      <c r="P73" t="s">
        <v>1</v>
      </c>
      <c r="Q73" t="s">
        <v>194</v>
      </c>
      <c r="R73" t="s">
        <v>194</v>
      </c>
      <c r="S73" t="s">
        <v>278</v>
      </c>
      <c r="T73" t="s">
        <v>138</v>
      </c>
    </row>
    <row r="74" spans="1:20" ht="12.75">
      <c r="A74">
        <v>73</v>
      </c>
      <c r="B74" t="s">
        <v>622</v>
      </c>
      <c r="C74" t="s">
        <v>31</v>
      </c>
      <c r="D74" s="18" t="s">
        <v>133</v>
      </c>
      <c r="E74" s="9" t="s">
        <v>202</v>
      </c>
      <c r="F74" s="9" t="s">
        <v>128</v>
      </c>
      <c r="G74" s="9" t="s">
        <v>203</v>
      </c>
      <c r="H74" s="9" t="s">
        <v>145</v>
      </c>
      <c r="I74" t="s">
        <v>623</v>
      </c>
      <c r="J74" t="s">
        <v>226</v>
      </c>
      <c r="K74" t="s">
        <v>232</v>
      </c>
      <c r="L74" t="s">
        <v>285</v>
      </c>
      <c r="M74" s="9" t="s">
        <v>303</v>
      </c>
      <c r="N74" s="11">
        <v>0.75</v>
      </c>
      <c r="O74" s="9">
        <v>0.6</v>
      </c>
      <c r="P74" t="s">
        <v>194</v>
      </c>
      <c r="Q74" t="s">
        <v>194</v>
      </c>
      <c r="R74" t="s">
        <v>1</v>
      </c>
      <c r="S74" t="s">
        <v>194</v>
      </c>
      <c r="T74" t="s">
        <v>194</v>
      </c>
    </row>
    <row r="75" spans="1:20" ht="12.75">
      <c r="A75">
        <v>74</v>
      </c>
      <c r="B75" t="s">
        <v>624</v>
      </c>
      <c r="C75" t="s">
        <v>31</v>
      </c>
      <c r="D75" s="18" t="s">
        <v>204</v>
      </c>
      <c r="E75" s="18" t="s">
        <v>205</v>
      </c>
      <c r="F75" s="18" t="s">
        <v>206</v>
      </c>
      <c r="G75" s="18" t="s">
        <v>108</v>
      </c>
      <c r="H75" s="18" t="s">
        <v>133</v>
      </c>
      <c r="I75" t="s">
        <v>625</v>
      </c>
      <c r="J75" t="s">
        <v>226</v>
      </c>
      <c r="K75" t="s">
        <v>232</v>
      </c>
      <c r="L75" t="s">
        <v>285</v>
      </c>
      <c r="M75" s="9" t="s">
        <v>303</v>
      </c>
      <c r="N75" s="11">
        <v>0.8</v>
      </c>
      <c r="O75" s="9">
        <v>0.65</v>
      </c>
      <c r="P75" t="s">
        <v>277</v>
      </c>
      <c r="Q75" t="s">
        <v>277</v>
      </c>
      <c r="R75" t="s">
        <v>1</v>
      </c>
      <c r="S75" t="s">
        <v>277</v>
      </c>
      <c r="T75" t="s">
        <v>277</v>
      </c>
    </row>
    <row r="76" spans="1:20" ht="12.75">
      <c r="A76">
        <v>75</v>
      </c>
      <c r="B76" t="s">
        <v>626</v>
      </c>
      <c r="C76" t="s">
        <v>31</v>
      </c>
      <c r="D76" s="18" t="s">
        <v>74</v>
      </c>
      <c r="E76" s="18" t="s">
        <v>207</v>
      </c>
      <c r="F76" s="18" t="s">
        <v>208</v>
      </c>
      <c r="G76" s="18" t="s">
        <v>133</v>
      </c>
      <c r="H76" s="18" t="s">
        <v>134</v>
      </c>
      <c r="I76" t="s">
        <v>627</v>
      </c>
      <c r="J76" t="s">
        <v>226</v>
      </c>
      <c r="K76" t="s">
        <v>232</v>
      </c>
      <c r="L76" t="s">
        <v>280</v>
      </c>
      <c r="M76" s="9" t="s">
        <v>303</v>
      </c>
      <c r="N76" s="11">
        <v>0.75</v>
      </c>
      <c r="O76" s="9">
        <v>0.6</v>
      </c>
      <c r="P76" t="s">
        <v>194</v>
      </c>
      <c r="Q76" t="s">
        <v>194</v>
      </c>
      <c r="R76" t="s">
        <v>1</v>
      </c>
      <c r="S76" t="s">
        <v>194</v>
      </c>
      <c r="T76" t="s">
        <v>194</v>
      </c>
    </row>
    <row r="77" spans="1:20" ht="12.75">
      <c r="A77">
        <v>76</v>
      </c>
      <c r="B77" t="s">
        <v>628</v>
      </c>
      <c r="C77" t="s">
        <v>31</v>
      </c>
      <c r="D77" s="9" t="s">
        <v>207</v>
      </c>
      <c r="E77" s="9" t="s">
        <v>133</v>
      </c>
      <c r="F77" s="9" t="s">
        <v>209</v>
      </c>
      <c r="G77" s="9" t="s">
        <v>210</v>
      </c>
      <c r="H77" s="9" t="s">
        <v>118</v>
      </c>
      <c r="I77" t="s">
        <v>629</v>
      </c>
      <c r="J77" t="s">
        <v>226</v>
      </c>
      <c r="K77" t="s">
        <v>232</v>
      </c>
      <c r="L77" t="s">
        <v>262</v>
      </c>
      <c r="M77" s="9" t="s">
        <v>303</v>
      </c>
      <c r="N77" s="11">
        <v>0.8</v>
      </c>
      <c r="O77" s="9">
        <v>0.6</v>
      </c>
      <c r="P77" t="s">
        <v>194</v>
      </c>
      <c r="Q77" t="s">
        <v>194</v>
      </c>
      <c r="R77" t="s">
        <v>1</v>
      </c>
      <c r="S77" t="s">
        <v>194</v>
      </c>
      <c r="T77" t="s">
        <v>194</v>
      </c>
    </row>
    <row r="78" spans="1:20" ht="12.75">
      <c r="A78">
        <v>77</v>
      </c>
      <c r="B78" t="s">
        <v>630</v>
      </c>
      <c r="C78" t="s">
        <v>17</v>
      </c>
      <c r="D78" s="18" t="s">
        <v>74</v>
      </c>
      <c r="E78" s="18" t="s">
        <v>207</v>
      </c>
      <c r="F78" s="18" t="s">
        <v>208</v>
      </c>
      <c r="G78" s="18" t="s">
        <v>133</v>
      </c>
      <c r="H78" s="18" t="s">
        <v>209</v>
      </c>
      <c r="I78" t="s">
        <v>631</v>
      </c>
      <c r="J78" t="s">
        <v>227</v>
      </c>
      <c r="K78" t="s">
        <v>282</v>
      </c>
      <c r="L78" t="s">
        <v>247</v>
      </c>
      <c r="M78" s="9" t="s">
        <v>304</v>
      </c>
      <c r="N78" s="11">
        <v>0.6</v>
      </c>
      <c r="O78" s="9">
        <v>0.55000000000000004</v>
      </c>
      <c r="P78" t="s">
        <v>194</v>
      </c>
      <c r="Q78" t="s">
        <v>1</v>
      </c>
      <c r="R78" t="s">
        <v>194</v>
      </c>
      <c r="S78" t="s">
        <v>194</v>
      </c>
      <c r="T78" t="s">
        <v>194</v>
      </c>
    </row>
    <row r="79" spans="1:20" ht="12.75">
      <c r="A79">
        <v>78</v>
      </c>
      <c r="B79" t="s">
        <v>632</v>
      </c>
      <c r="C79" t="s">
        <v>31</v>
      </c>
      <c r="D79" s="18" t="s">
        <v>211</v>
      </c>
      <c r="E79" s="18" t="s">
        <v>212</v>
      </c>
      <c r="F79" s="18" t="s">
        <v>213</v>
      </c>
      <c r="G79" s="18" t="s">
        <v>214</v>
      </c>
      <c r="H79" s="18" t="s">
        <v>215</v>
      </c>
      <c r="I79" t="s">
        <v>633</v>
      </c>
      <c r="J79" t="s">
        <v>227</v>
      </c>
      <c r="K79" t="s">
        <v>247</v>
      </c>
      <c r="L79" t="s">
        <v>276</v>
      </c>
      <c r="M79" s="9" t="s">
        <v>304</v>
      </c>
      <c r="N79" s="11">
        <v>0.7</v>
      </c>
      <c r="O79" s="9">
        <v>0.6</v>
      </c>
      <c r="P79" t="s">
        <v>277</v>
      </c>
      <c r="Q79" t="s">
        <v>277</v>
      </c>
      <c r="R79" t="s">
        <v>1</v>
      </c>
      <c r="S79" t="s">
        <v>277</v>
      </c>
      <c r="T79" t="s">
        <v>277</v>
      </c>
    </row>
    <row r="80" spans="1:20" ht="12.75">
      <c r="A80">
        <v>79</v>
      </c>
      <c r="B80" t="s">
        <v>634</v>
      </c>
      <c r="C80" t="s">
        <v>31</v>
      </c>
      <c r="D80" s="9" t="s">
        <v>216</v>
      </c>
      <c r="E80" s="9" t="s">
        <v>217</v>
      </c>
      <c r="F80" s="9" t="s">
        <v>218</v>
      </c>
      <c r="G80" s="9" t="s">
        <v>219</v>
      </c>
      <c r="H80" s="9" t="s">
        <v>78</v>
      </c>
      <c r="I80" t="s">
        <v>635</v>
      </c>
      <c r="J80" t="s">
        <v>227</v>
      </c>
      <c r="K80" t="s">
        <v>266</v>
      </c>
      <c r="L80" t="s">
        <v>285</v>
      </c>
      <c r="M80" s="9" t="s">
        <v>303</v>
      </c>
      <c r="N80" s="11">
        <v>0.85</v>
      </c>
      <c r="O80" s="9">
        <v>0.65</v>
      </c>
      <c r="P80" t="s">
        <v>194</v>
      </c>
      <c r="Q80" t="s">
        <v>194</v>
      </c>
      <c r="R80" t="s">
        <v>1</v>
      </c>
      <c r="S80" t="s">
        <v>194</v>
      </c>
      <c r="T80" t="s">
        <v>278</v>
      </c>
    </row>
    <row r="81" spans="1:20" ht="12.75">
      <c r="A81">
        <v>80</v>
      </c>
      <c r="B81" t="s">
        <v>636</v>
      </c>
      <c r="C81" t="s">
        <v>17</v>
      </c>
      <c r="D81" s="18" t="s">
        <v>118</v>
      </c>
      <c r="E81" s="18" t="s">
        <v>220</v>
      </c>
      <c r="F81" s="18" t="s">
        <v>108</v>
      </c>
      <c r="G81" s="18" t="s">
        <v>204</v>
      </c>
      <c r="H81" s="18" t="s">
        <v>221</v>
      </c>
      <c r="I81" t="s">
        <v>637</v>
      </c>
      <c r="J81" t="s">
        <v>227</v>
      </c>
      <c r="K81" t="s">
        <v>247</v>
      </c>
      <c r="L81" t="s">
        <v>265</v>
      </c>
      <c r="M81" s="9" t="s">
        <v>303</v>
      </c>
      <c r="N81" s="11">
        <v>0.85</v>
      </c>
      <c r="O81" s="9">
        <v>0.65</v>
      </c>
      <c r="P81" t="s">
        <v>194</v>
      </c>
      <c r="Q81" t="s">
        <v>1</v>
      </c>
      <c r="R81" t="s">
        <v>194</v>
      </c>
      <c r="S81" t="s">
        <v>194</v>
      </c>
      <c r="T81" t="s">
        <v>194</v>
      </c>
    </row>
    <row r="82" spans="1:20" ht="12.75">
      <c r="B82" s="7"/>
      <c r="C82" s="7"/>
      <c r="D82" s="7"/>
      <c r="J82" s="7"/>
      <c r="L82" s="7"/>
      <c r="P82" s="7"/>
    </row>
    <row r="83" spans="1:20" ht="12.75">
      <c r="B83" s="7"/>
      <c r="C83" s="7"/>
      <c r="D83" s="7"/>
      <c r="J83" s="7"/>
      <c r="L83" s="7"/>
      <c r="P83" s="7"/>
    </row>
  </sheetData>
  <autoFilter ref="A1:T81" xr:uid="{00000000-0001-0000-0000-000000000000}"/>
  <conditionalFormatting sqref="B37">
    <cfRule type="duplicateValues" dxfId="3" priority="1"/>
  </conditionalFormatting>
  <conditionalFormatting sqref="B82:B1048576 B1">
    <cfRule type="duplicateValues" dxfId="2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FED4D-37E4-4DCB-B19D-D2AFCC6828E3}">
  <dimension ref="A1:L82"/>
  <sheetViews>
    <sheetView topLeftCell="A51" workbookViewId="0">
      <selection activeCell="A84" sqref="A84:XFD84"/>
    </sheetView>
  </sheetViews>
  <sheetFormatPr defaultRowHeight="12.75"/>
  <cols>
    <col min="1" max="1" width="9.85546875" bestFit="1" customWidth="1"/>
    <col min="2" max="2" width="175.42578125" bestFit="1" customWidth="1"/>
    <col min="3" max="3" width="13.42578125" bestFit="1" customWidth="1"/>
    <col min="4" max="4" width="255.5703125" bestFit="1" customWidth="1"/>
    <col min="5" max="5" width="17.28515625" bestFit="1" customWidth="1"/>
    <col min="6" max="6" width="22.140625" bestFit="1" customWidth="1"/>
    <col min="7" max="7" width="22.85546875" bestFit="1" customWidth="1"/>
    <col min="8" max="9" width="24.42578125" bestFit="1" customWidth="1"/>
    <col min="10" max="11" width="28.85546875" bestFit="1" customWidth="1"/>
    <col min="12" max="12" width="24.42578125" bestFit="1" customWidth="1"/>
  </cols>
  <sheetData>
    <row r="1" spans="1:12">
      <c r="A1" s="1" t="s">
        <v>28</v>
      </c>
      <c r="B1" s="1" t="s">
        <v>0</v>
      </c>
      <c r="C1" s="1" t="s">
        <v>1</v>
      </c>
      <c r="D1" s="1" t="s">
        <v>346</v>
      </c>
      <c r="E1" s="1" t="s">
        <v>345</v>
      </c>
      <c r="F1" s="1" t="s">
        <v>8</v>
      </c>
      <c r="G1" s="1" t="s">
        <v>7</v>
      </c>
      <c r="H1" s="1" t="s">
        <v>425</v>
      </c>
      <c r="I1" s="1" t="s">
        <v>426</v>
      </c>
      <c r="J1" s="1" t="s">
        <v>427</v>
      </c>
      <c r="K1" s="1" t="s">
        <v>428</v>
      </c>
      <c r="L1" s="1" t="s">
        <v>429</v>
      </c>
    </row>
    <row r="2" spans="1:12">
      <c r="A2">
        <v>1</v>
      </c>
      <c r="B2" t="s">
        <v>430</v>
      </c>
      <c r="C2" t="s">
        <v>17</v>
      </c>
      <c r="D2" t="s">
        <v>431</v>
      </c>
      <c r="E2" t="s">
        <v>227</v>
      </c>
      <c r="F2" t="s">
        <v>282</v>
      </c>
      <c r="G2" t="s">
        <v>247</v>
      </c>
      <c r="H2" t="s">
        <v>194</v>
      </c>
      <c r="I2" t="s">
        <v>1</v>
      </c>
      <c r="J2" t="s">
        <v>278</v>
      </c>
      <c r="K2" t="s">
        <v>194</v>
      </c>
      <c r="L2" t="s">
        <v>194</v>
      </c>
    </row>
    <row r="3" spans="1:12">
      <c r="A3">
        <v>2</v>
      </c>
      <c r="B3" t="s">
        <v>432</v>
      </c>
      <c r="C3" t="s">
        <v>20</v>
      </c>
      <c r="D3" t="s">
        <v>433</v>
      </c>
      <c r="E3" t="s">
        <v>228</v>
      </c>
      <c r="F3" t="s">
        <v>234</v>
      </c>
      <c r="G3" t="s">
        <v>250</v>
      </c>
      <c r="H3" t="s">
        <v>1</v>
      </c>
      <c r="I3" t="s">
        <v>299</v>
      </c>
      <c r="J3" t="s">
        <v>297</v>
      </c>
      <c r="K3" t="s">
        <v>259</v>
      </c>
      <c r="L3" t="s">
        <v>259</v>
      </c>
    </row>
    <row r="4" spans="1:12">
      <c r="A4">
        <v>3</v>
      </c>
      <c r="B4" t="s">
        <v>357</v>
      </c>
      <c r="C4" t="s">
        <v>17</v>
      </c>
      <c r="D4" t="s">
        <v>434</v>
      </c>
      <c r="E4" t="s">
        <v>226</v>
      </c>
      <c r="F4" t="s">
        <v>231</v>
      </c>
      <c r="G4" t="s">
        <v>241</v>
      </c>
      <c r="H4" t="s">
        <v>278</v>
      </c>
      <c r="I4" t="s">
        <v>1</v>
      </c>
      <c r="J4" t="s">
        <v>194</v>
      </c>
      <c r="K4" t="s">
        <v>278</v>
      </c>
      <c r="L4" t="s">
        <v>293</v>
      </c>
    </row>
    <row r="5" spans="1:12">
      <c r="A5">
        <v>4</v>
      </c>
      <c r="B5" t="s">
        <v>360</v>
      </c>
      <c r="C5" t="s">
        <v>31</v>
      </c>
      <c r="D5" t="s">
        <v>435</v>
      </c>
      <c r="E5" t="s">
        <v>227</v>
      </c>
      <c r="F5" t="s">
        <v>282</v>
      </c>
      <c r="G5" t="s">
        <v>247</v>
      </c>
      <c r="H5" t="s">
        <v>278</v>
      </c>
      <c r="I5" t="s">
        <v>271</v>
      </c>
      <c r="J5" t="s">
        <v>1</v>
      </c>
      <c r="K5" t="s">
        <v>194</v>
      </c>
      <c r="L5" t="s">
        <v>194</v>
      </c>
    </row>
    <row r="6" spans="1:12">
      <c r="A6" s="21">
        <v>5</v>
      </c>
      <c r="B6" t="s">
        <v>436</v>
      </c>
      <c r="C6" t="s">
        <v>44</v>
      </c>
      <c r="D6" t="s">
        <v>437</v>
      </c>
      <c r="E6" t="s">
        <v>367</v>
      </c>
      <c r="F6" t="s">
        <v>239</v>
      </c>
      <c r="G6" t="s">
        <v>292</v>
      </c>
      <c r="H6" t="s">
        <v>194</v>
      </c>
      <c r="I6" t="s">
        <v>194</v>
      </c>
      <c r="J6" t="s">
        <v>278</v>
      </c>
      <c r="K6" t="s">
        <v>1</v>
      </c>
      <c r="L6" t="s">
        <v>194</v>
      </c>
    </row>
    <row r="7" spans="1:12">
      <c r="A7">
        <v>6</v>
      </c>
      <c r="B7" t="s">
        <v>438</v>
      </c>
      <c r="C7" t="s">
        <v>31</v>
      </c>
      <c r="D7" t="s">
        <v>439</v>
      </c>
      <c r="E7" t="s">
        <v>367</v>
      </c>
      <c r="F7" t="s">
        <v>239</v>
      </c>
      <c r="G7" t="s">
        <v>292</v>
      </c>
      <c r="H7" t="s">
        <v>194</v>
      </c>
      <c r="I7" t="s">
        <v>194</v>
      </c>
      <c r="J7" t="s">
        <v>1</v>
      </c>
      <c r="K7" t="s">
        <v>194</v>
      </c>
      <c r="L7" t="s">
        <v>300</v>
      </c>
    </row>
    <row r="8" spans="1:12">
      <c r="A8">
        <v>7</v>
      </c>
      <c r="B8" t="s">
        <v>440</v>
      </c>
      <c r="C8" t="s">
        <v>20</v>
      </c>
      <c r="D8" t="s">
        <v>441</v>
      </c>
      <c r="E8" t="s">
        <v>226</v>
      </c>
      <c r="F8" t="s">
        <v>230</v>
      </c>
      <c r="G8" t="s">
        <v>241</v>
      </c>
      <c r="H8" t="s">
        <v>1</v>
      </c>
      <c r="I8" t="s">
        <v>194</v>
      </c>
      <c r="J8" t="s">
        <v>278</v>
      </c>
      <c r="K8" t="s">
        <v>194</v>
      </c>
      <c r="L8" t="s">
        <v>194</v>
      </c>
    </row>
    <row r="9" spans="1:12">
      <c r="A9">
        <v>8</v>
      </c>
      <c r="B9" t="s">
        <v>442</v>
      </c>
      <c r="C9" t="s">
        <v>17</v>
      </c>
      <c r="D9" t="s">
        <v>443</v>
      </c>
      <c r="E9" t="s">
        <v>228</v>
      </c>
      <c r="F9" t="s">
        <v>234</v>
      </c>
      <c r="G9" t="s">
        <v>250</v>
      </c>
      <c r="H9" t="s">
        <v>277</v>
      </c>
      <c r="I9" t="s">
        <v>1</v>
      </c>
      <c r="J9" t="s">
        <v>277</v>
      </c>
      <c r="K9" t="s">
        <v>277</v>
      </c>
      <c r="L9" t="s">
        <v>277</v>
      </c>
    </row>
    <row r="10" spans="1:12">
      <c r="A10" s="21">
        <v>9</v>
      </c>
      <c r="B10" t="s">
        <v>444</v>
      </c>
      <c r="C10" t="s">
        <v>31</v>
      </c>
      <c r="D10" t="s">
        <v>445</v>
      </c>
      <c r="E10" t="s">
        <v>367</v>
      </c>
      <c r="F10" t="s">
        <v>237</v>
      </c>
      <c r="G10" t="s">
        <v>250</v>
      </c>
      <c r="H10" t="s">
        <v>277</v>
      </c>
      <c r="I10" t="s">
        <v>278</v>
      </c>
      <c r="J10" t="s">
        <v>1</v>
      </c>
      <c r="K10" t="s">
        <v>277</v>
      </c>
      <c r="L10" t="s">
        <v>277</v>
      </c>
    </row>
    <row r="11" spans="1:12">
      <c r="A11">
        <v>10</v>
      </c>
      <c r="B11" t="s">
        <v>446</v>
      </c>
      <c r="C11" t="s">
        <v>31</v>
      </c>
      <c r="D11" t="s">
        <v>447</v>
      </c>
      <c r="E11" t="s">
        <v>367</v>
      </c>
      <c r="F11" t="s">
        <v>239</v>
      </c>
      <c r="G11" t="s">
        <v>292</v>
      </c>
      <c r="H11" t="s">
        <v>194</v>
      </c>
      <c r="I11" t="s">
        <v>194</v>
      </c>
      <c r="J11" t="s">
        <v>1</v>
      </c>
      <c r="K11" t="s">
        <v>194</v>
      </c>
      <c r="L11" t="s">
        <v>300</v>
      </c>
    </row>
    <row r="12" spans="1:12">
      <c r="A12">
        <v>11</v>
      </c>
      <c r="B12" t="s">
        <v>515</v>
      </c>
      <c r="C12" t="s">
        <v>31</v>
      </c>
      <c r="D12" t="s">
        <v>516</v>
      </c>
      <c r="E12" t="s">
        <v>367</v>
      </c>
      <c r="F12" t="s">
        <v>239</v>
      </c>
      <c r="G12" t="s">
        <v>292</v>
      </c>
      <c r="H12" t="s">
        <v>194</v>
      </c>
      <c r="I12" t="s">
        <v>194</v>
      </c>
      <c r="J12" t="s">
        <v>1</v>
      </c>
      <c r="K12" t="s">
        <v>300</v>
      </c>
      <c r="L12" t="s">
        <v>194</v>
      </c>
    </row>
    <row r="13" spans="1:12">
      <c r="A13">
        <v>12</v>
      </c>
      <c r="B13" t="s">
        <v>68</v>
      </c>
      <c r="C13" t="s">
        <v>20</v>
      </c>
      <c r="D13" t="s">
        <v>517</v>
      </c>
      <c r="E13" t="s">
        <v>367</v>
      </c>
      <c r="F13" t="s">
        <v>239</v>
      </c>
      <c r="G13" t="s">
        <v>292</v>
      </c>
      <c r="H13" t="s">
        <v>1</v>
      </c>
      <c r="I13" t="s">
        <v>194</v>
      </c>
      <c r="J13" t="s">
        <v>194</v>
      </c>
      <c r="K13" t="s">
        <v>293</v>
      </c>
      <c r="L13" t="s">
        <v>299</v>
      </c>
    </row>
    <row r="14" spans="1:12">
      <c r="A14">
        <v>13</v>
      </c>
      <c r="B14" t="s">
        <v>518</v>
      </c>
      <c r="C14" t="s">
        <v>20</v>
      </c>
      <c r="D14" t="s">
        <v>519</v>
      </c>
      <c r="E14" t="s">
        <v>228</v>
      </c>
      <c r="F14" t="s">
        <v>234</v>
      </c>
      <c r="G14" t="s">
        <v>262</v>
      </c>
      <c r="H14" t="s">
        <v>1</v>
      </c>
      <c r="I14" t="s">
        <v>259</v>
      </c>
      <c r="J14" t="s">
        <v>194</v>
      </c>
      <c r="K14" t="s">
        <v>194</v>
      </c>
      <c r="L14" t="s">
        <v>259</v>
      </c>
    </row>
    <row r="15" spans="1:12">
      <c r="A15">
        <v>14</v>
      </c>
      <c r="B15" t="s">
        <v>520</v>
      </c>
      <c r="C15" t="s">
        <v>20</v>
      </c>
      <c r="D15" t="s">
        <v>521</v>
      </c>
      <c r="E15" t="s">
        <v>226</v>
      </c>
      <c r="F15" t="s">
        <v>232</v>
      </c>
      <c r="G15" t="s">
        <v>234</v>
      </c>
      <c r="H15" t="s">
        <v>1</v>
      </c>
      <c r="I15" t="s">
        <v>259</v>
      </c>
      <c r="J15" t="s">
        <v>194</v>
      </c>
      <c r="K15" t="s">
        <v>259</v>
      </c>
      <c r="L15" t="s">
        <v>194</v>
      </c>
    </row>
    <row r="16" spans="1:12">
      <c r="A16">
        <v>15</v>
      </c>
      <c r="B16" t="s">
        <v>82</v>
      </c>
      <c r="C16" t="s">
        <v>44</v>
      </c>
      <c r="D16" t="s">
        <v>522</v>
      </c>
      <c r="E16" t="s">
        <v>367</v>
      </c>
      <c r="F16" t="s">
        <v>283</v>
      </c>
      <c r="G16" t="s">
        <v>289</v>
      </c>
      <c r="H16" t="s">
        <v>255</v>
      </c>
      <c r="I16" t="s">
        <v>194</v>
      </c>
      <c r="J16" t="s">
        <v>194</v>
      </c>
      <c r="K16" t="s">
        <v>1</v>
      </c>
      <c r="L16" t="s">
        <v>194</v>
      </c>
    </row>
    <row r="17" spans="1:12">
      <c r="A17" s="21">
        <v>16</v>
      </c>
      <c r="B17" t="s">
        <v>523</v>
      </c>
      <c r="C17" t="s">
        <v>17</v>
      </c>
      <c r="D17" t="s">
        <v>524</v>
      </c>
      <c r="E17" t="s">
        <v>226</v>
      </c>
      <c r="F17" t="s">
        <v>232</v>
      </c>
      <c r="G17" t="s">
        <v>234</v>
      </c>
      <c r="H17" t="s">
        <v>277</v>
      </c>
      <c r="I17" t="s">
        <v>1</v>
      </c>
      <c r="J17" t="s">
        <v>277</v>
      </c>
      <c r="K17" t="s">
        <v>277</v>
      </c>
      <c r="L17" t="s">
        <v>277</v>
      </c>
    </row>
    <row r="18" spans="1:12">
      <c r="A18">
        <v>17</v>
      </c>
      <c r="B18" t="s">
        <v>525</v>
      </c>
      <c r="C18" t="s">
        <v>31</v>
      </c>
      <c r="D18" t="s">
        <v>526</v>
      </c>
      <c r="E18" t="s">
        <v>228</v>
      </c>
      <c r="F18" t="s">
        <v>234</v>
      </c>
      <c r="G18" t="s">
        <v>250</v>
      </c>
      <c r="H18" t="s">
        <v>194</v>
      </c>
      <c r="I18" t="s">
        <v>255</v>
      </c>
      <c r="J18" t="s">
        <v>1</v>
      </c>
      <c r="K18" t="s">
        <v>194</v>
      </c>
      <c r="L18" t="s">
        <v>194</v>
      </c>
    </row>
    <row r="19" spans="1:12">
      <c r="A19" s="21">
        <v>18</v>
      </c>
      <c r="B19" t="s">
        <v>527</v>
      </c>
      <c r="C19" t="s">
        <v>20</v>
      </c>
      <c r="D19" t="s">
        <v>638</v>
      </c>
      <c r="E19" t="s">
        <v>367</v>
      </c>
      <c r="F19" t="s">
        <v>283</v>
      </c>
      <c r="G19" t="s">
        <v>289</v>
      </c>
      <c r="H19" t="s">
        <v>1</v>
      </c>
      <c r="I19" t="s">
        <v>194</v>
      </c>
      <c r="J19" t="s">
        <v>194</v>
      </c>
      <c r="K19" t="s">
        <v>194</v>
      </c>
      <c r="L19" t="s">
        <v>194</v>
      </c>
    </row>
    <row r="20" spans="1:12">
      <c r="A20">
        <v>19</v>
      </c>
      <c r="B20" t="s">
        <v>90</v>
      </c>
      <c r="C20" t="s">
        <v>31</v>
      </c>
      <c r="D20" t="s">
        <v>528</v>
      </c>
      <c r="E20" t="s">
        <v>367</v>
      </c>
      <c r="F20" t="s">
        <v>239</v>
      </c>
      <c r="G20" t="s">
        <v>235</v>
      </c>
      <c r="H20" t="s">
        <v>194</v>
      </c>
      <c r="I20" t="s">
        <v>278</v>
      </c>
      <c r="J20" t="s">
        <v>1</v>
      </c>
      <c r="K20" t="s">
        <v>278</v>
      </c>
      <c r="L20" t="s">
        <v>194</v>
      </c>
    </row>
    <row r="21" spans="1:12">
      <c r="A21">
        <v>20</v>
      </c>
      <c r="B21" t="s">
        <v>529</v>
      </c>
      <c r="C21" t="s">
        <v>31</v>
      </c>
      <c r="D21" t="s">
        <v>530</v>
      </c>
      <c r="E21" t="s">
        <v>228</v>
      </c>
      <c r="F21" t="s">
        <v>235</v>
      </c>
      <c r="G21" t="s">
        <v>254</v>
      </c>
      <c r="H21" t="s">
        <v>138</v>
      </c>
      <c r="I21" t="s">
        <v>278</v>
      </c>
      <c r="J21" t="s">
        <v>1</v>
      </c>
      <c r="K21" t="s">
        <v>194</v>
      </c>
      <c r="L21" t="s">
        <v>278</v>
      </c>
    </row>
    <row r="22" spans="1:12">
      <c r="A22">
        <v>21</v>
      </c>
      <c r="B22" t="s">
        <v>448</v>
      </c>
      <c r="C22" t="s">
        <v>31</v>
      </c>
      <c r="D22" t="s">
        <v>531</v>
      </c>
      <c r="E22" t="s">
        <v>227</v>
      </c>
      <c r="F22" t="s">
        <v>283</v>
      </c>
      <c r="G22" t="s">
        <v>289</v>
      </c>
      <c r="H22" t="s">
        <v>278</v>
      </c>
      <c r="I22" t="s">
        <v>194</v>
      </c>
      <c r="J22" t="s">
        <v>1</v>
      </c>
      <c r="K22" t="s">
        <v>194</v>
      </c>
      <c r="L22" t="s">
        <v>194</v>
      </c>
    </row>
    <row r="23" spans="1:12">
      <c r="A23">
        <v>22</v>
      </c>
      <c r="B23" t="s">
        <v>532</v>
      </c>
      <c r="C23" t="s">
        <v>49</v>
      </c>
      <c r="D23" t="s">
        <v>533</v>
      </c>
      <c r="E23" t="s">
        <v>367</v>
      </c>
      <c r="F23" t="s">
        <v>239</v>
      </c>
      <c r="G23" t="s">
        <v>292</v>
      </c>
      <c r="H23" t="s">
        <v>194</v>
      </c>
      <c r="I23" t="s">
        <v>194</v>
      </c>
      <c r="J23" t="s">
        <v>194</v>
      </c>
      <c r="K23" t="s">
        <v>194</v>
      </c>
      <c r="L23" t="s">
        <v>1</v>
      </c>
    </row>
    <row r="24" spans="1:12">
      <c r="A24" s="21">
        <v>23</v>
      </c>
      <c r="B24" t="s">
        <v>534</v>
      </c>
      <c r="C24" t="s">
        <v>44</v>
      </c>
      <c r="D24" t="s">
        <v>535</v>
      </c>
      <c r="E24" t="s">
        <v>228</v>
      </c>
      <c r="F24" t="s">
        <v>234</v>
      </c>
      <c r="G24" t="s">
        <v>250</v>
      </c>
      <c r="H24" t="s">
        <v>194</v>
      </c>
      <c r="I24" t="s">
        <v>194</v>
      </c>
      <c r="J24" t="s">
        <v>194</v>
      </c>
      <c r="K24" t="s">
        <v>1</v>
      </c>
      <c r="L24" t="s">
        <v>194</v>
      </c>
    </row>
    <row r="25" spans="1:12">
      <c r="A25">
        <v>24</v>
      </c>
      <c r="B25" t="s">
        <v>536</v>
      </c>
      <c r="C25" t="s">
        <v>31</v>
      </c>
      <c r="D25" t="s">
        <v>537</v>
      </c>
      <c r="E25" t="s">
        <v>228</v>
      </c>
      <c r="F25" t="s">
        <v>235</v>
      </c>
      <c r="G25" t="s">
        <v>254</v>
      </c>
      <c r="H25" t="s">
        <v>272</v>
      </c>
      <c r="I25" t="s">
        <v>261</v>
      </c>
      <c r="J25" t="s">
        <v>1</v>
      </c>
      <c r="K25" t="s">
        <v>272</v>
      </c>
      <c r="L25" t="s">
        <v>272</v>
      </c>
    </row>
    <row r="26" spans="1:12">
      <c r="A26">
        <v>25</v>
      </c>
      <c r="B26" t="s">
        <v>538</v>
      </c>
      <c r="C26" t="s">
        <v>31</v>
      </c>
      <c r="D26" t="s">
        <v>539</v>
      </c>
      <c r="E26" t="s">
        <v>367</v>
      </c>
      <c r="F26" t="s">
        <v>239</v>
      </c>
      <c r="G26" t="s">
        <v>292</v>
      </c>
      <c r="H26" t="s">
        <v>194</v>
      </c>
      <c r="I26" t="s">
        <v>194</v>
      </c>
      <c r="J26" t="s">
        <v>1</v>
      </c>
      <c r="K26" t="s">
        <v>278</v>
      </c>
      <c r="L26" t="s">
        <v>194</v>
      </c>
    </row>
    <row r="27" spans="1:12">
      <c r="A27">
        <v>26</v>
      </c>
      <c r="B27" t="s">
        <v>114</v>
      </c>
      <c r="C27" t="s">
        <v>44</v>
      </c>
      <c r="D27" t="s">
        <v>540</v>
      </c>
      <c r="E27" t="s">
        <v>367</v>
      </c>
      <c r="F27" t="s">
        <v>239</v>
      </c>
      <c r="G27" t="s">
        <v>292</v>
      </c>
      <c r="H27" t="s">
        <v>194</v>
      </c>
      <c r="I27" t="s">
        <v>194</v>
      </c>
      <c r="J27" t="s">
        <v>278</v>
      </c>
      <c r="K27" t="s">
        <v>1</v>
      </c>
      <c r="L27" t="s">
        <v>194</v>
      </c>
    </row>
    <row r="28" spans="1:12">
      <c r="A28">
        <v>27</v>
      </c>
      <c r="B28" t="s">
        <v>117</v>
      </c>
      <c r="C28" t="s">
        <v>17</v>
      </c>
      <c r="D28" t="s">
        <v>541</v>
      </c>
      <c r="E28" t="s">
        <v>367</v>
      </c>
      <c r="F28" t="s">
        <v>239</v>
      </c>
      <c r="G28" t="s">
        <v>292</v>
      </c>
      <c r="H28" t="s">
        <v>194</v>
      </c>
      <c r="I28" t="s">
        <v>1</v>
      </c>
      <c r="J28" t="s">
        <v>194</v>
      </c>
      <c r="K28" t="s">
        <v>194</v>
      </c>
      <c r="L28" t="s">
        <v>194</v>
      </c>
    </row>
    <row r="29" spans="1:12">
      <c r="A29">
        <v>28</v>
      </c>
      <c r="B29" t="s">
        <v>542</v>
      </c>
      <c r="C29" t="s">
        <v>49</v>
      </c>
      <c r="D29" t="s">
        <v>543</v>
      </c>
      <c r="E29" t="s">
        <v>367</v>
      </c>
      <c r="F29" t="s">
        <v>239</v>
      </c>
      <c r="G29" t="s">
        <v>292</v>
      </c>
      <c r="H29" t="s">
        <v>194</v>
      </c>
      <c r="I29" t="s">
        <v>194</v>
      </c>
      <c r="J29" t="s">
        <v>194</v>
      </c>
      <c r="K29" t="s">
        <v>194</v>
      </c>
      <c r="L29" t="s">
        <v>1</v>
      </c>
    </row>
    <row r="30" spans="1:12">
      <c r="A30" s="21">
        <v>29</v>
      </c>
      <c r="B30" t="s">
        <v>480</v>
      </c>
      <c r="C30" t="s">
        <v>31</v>
      </c>
      <c r="D30" t="s">
        <v>640</v>
      </c>
      <c r="E30" t="s">
        <v>367</v>
      </c>
      <c r="F30" t="s">
        <v>239</v>
      </c>
      <c r="G30" t="s">
        <v>292</v>
      </c>
      <c r="H30" t="s">
        <v>194</v>
      </c>
      <c r="I30" t="s">
        <v>194</v>
      </c>
      <c r="J30" t="s">
        <v>1</v>
      </c>
      <c r="K30" t="s">
        <v>194</v>
      </c>
      <c r="L30" t="s">
        <v>194</v>
      </c>
    </row>
    <row r="31" spans="1:12">
      <c r="A31">
        <v>30</v>
      </c>
      <c r="B31" t="s">
        <v>127</v>
      </c>
      <c r="C31" t="s">
        <v>31</v>
      </c>
      <c r="D31" t="s">
        <v>544</v>
      </c>
      <c r="E31" t="s">
        <v>367</v>
      </c>
      <c r="F31" t="s">
        <v>239</v>
      </c>
      <c r="G31" t="s">
        <v>292</v>
      </c>
      <c r="H31" t="s">
        <v>194</v>
      </c>
      <c r="I31" t="s">
        <v>300</v>
      </c>
      <c r="J31" t="s">
        <v>1</v>
      </c>
      <c r="K31" t="s">
        <v>194</v>
      </c>
      <c r="L31" t="s">
        <v>194</v>
      </c>
    </row>
    <row r="32" spans="1:12">
      <c r="A32">
        <v>31</v>
      </c>
      <c r="B32" t="s">
        <v>129</v>
      </c>
      <c r="C32" t="s">
        <v>17</v>
      </c>
      <c r="D32" t="s">
        <v>545</v>
      </c>
      <c r="E32" t="s">
        <v>367</v>
      </c>
      <c r="F32" t="s">
        <v>239</v>
      </c>
      <c r="G32" t="s">
        <v>292</v>
      </c>
      <c r="H32" t="s">
        <v>194</v>
      </c>
      <c r="I32" t="s">
        <v>1</v>
      </c>
      <c r="J32" t="s">
        <v>194</v>
      </c>
      <c r="K32" t="s">
        <v>293</v>
      </c>
      <c r="L32" t="s">
        <v>194</v>
      </c>
    </row>
    <row r="33" spans="1:12">
      <c r="A33" s="21">
        <v>32</v>
      </c>
      <c r="B33" t="s">
        <v>130</v>
      </c>
      <c r="C33" t="s">
        <v>31</v>
      </c>
      <c r="D33" t="s">
        <v>642</v>
      </c>
      <c r="E33" t="s">
        <v>367</v>
      </c>
      <c r="F33" t="s">
        <v>239</v>
      </c>
      <c r="G33" t="s">
        <v>292</v>
      </c>
      <c r="H33" t="s">
        <v>194</v>
      </c>
      <c r="I33" t="s">
        <v>194</v>
      </c>
      <c r="J33" t="s">
        <v>1</v>
      </c>
      <c r="K33" t="s">
        <v>194</v>
      </c>
      <c r="L33" t="s">
        <v>194</v>
      </c>
    </row>
    <row r="34" spans="1:12">
      <c r="A34">
        <v>33</v>
      </c>
      <c r="B34" t="s">
        <v>491</v>
      </c>
      <c r="C34" t="s">
        <v>20</v>
      </c>
      <c r="D34" t="s">
        <v>546</v>
      </c>
      <c r="E34" t="s">
        <v>226</v>
      </c>
      <c r="F34" t="s">
        <v>230</v>
      </c>
      <c r="G34" t="s">
        <v>241</v>
      </c>
      <c r="H34" t="s">
        <v>1</v>
      </c>
      <c r="I34" t="s">
        <v>194</v>
      </c>
      <c r="J34" t="s">
        <v>278</v>
      </c>
      <c r="K34" t="s">
        <v>194</v>
      </c>
      <c r="L34" t="s">
        <v>194</v>
      </c>
    </row>
    <row r="35" spans="1:12">
      <c r="A35">
        <v>34</v>
      </c>
      <c r="B35" t="s">
        <v>547</v>
      </c>
      <c r="C35" t="s">
        <v>17</v>
      </c>
      <c r="D35" t="s">
        <v>548</v>
      </c>
      <c r="E35" t="s">
        <v>226</v>
      </c>
      <c r="F35" t="s">
        <v>232</v>
      </c>
      <c r="G35" t="s">
        <v>285</v>
      </c>
      <c r="H35" t="s">
        <v>277</v>
      </c>
      <c r="I35" t="s">
        <v>1</v>
      </c>
      <c r="J35" t="s">
        <v>277</v>
      </c>
      <c r="K35" t="s">
        <v>277</v>
      </c>
      <c r="L35" t="s">
        <v>277</v>
      </c>
    </row>
    <row r="36" spans="1:12">
      <c r="A36">
        <v>35</v>
      </c>
      <c r="B36" t="s">
        <v>549</v>
      </c>
      <c r="C36" t="s">
        <v>44</v>
      </c>
      <c r="D36" t="s">
        <v>550</v>
      </c>
      <c r="E36" t="s">
        <v>226</v>
      </c>
      <c r="F36" t="s">
        <v>230</v>
      </c>
      <c r="G36" t="s">
        <v>262</v>
      </c>
      <c r="H36" t="s">
        <v>277</v>
      </c>
      <c r="I36" t="s">
        <v>277</v>
      </c>
      <c r="J36" t="s">
        <v>277</v>
      </c>
      <c r="K36" t="s">
        <v>1</v>
      </c>
      <c r="L36" t="s">
        <v>277</v>
      </c>
    </row>
    <row r="37" spans="1:12">
      <c r="A37">
        <v>36</v>
      </c>
      <c r="B37" t="s">
        <v>551</v>
      </c>
      <c r="C37" t="s">
        <v>31</v>
      </c>
      <c r="D37" t="s">
        <v>552</v>
      </c>
      <c r="E37" t="s">
        <v>226</v>
      </c>
      <c r="F37" t="s">
        <v>230</v>
      </c>
      <c r="G37" t="s">
        <v>242</v>
      </c>
      <c r="H37" t="s">
        <v>194</v>
      </c>
      <c r="I37" t="s">
        <v>278</v>
      </c>
      <c r="J37" t="s">
        <v>1</v>
      </c>
      <c r="K37" t="s">
        <v>194</v>
      </c>
      <c r="L37" t="s">
        <v>194</v>
      </c>
    </row>
    <row r="38" spans="1:12" ht="14.25">
      <c r="A38" s="21">
        <v>37</v>
      </c>
      <c r="B38" s="5" t="s">
        <v>309</v>
      </c>
      <c r="C38" t="s">
        <v>17</v>
      </c>
      <c r="D38" t="s">
        <v>643</v>
      </c>
      <c r="E38" t="s">
        <v>226</v>
      </c>
      <c r="F38" t="s">
        <v>232</v>
      </c>
      <c r="G38" t="s">
        <v>241</v>
      </c>
      <c r="H38" t="s">
        <v>194</v>
      </c>
      <c r="I38" t="s">
        <v>1</v>
      </c>
      <c r="J38" t="s">
        <v>194</v>
      </c>
      <c r="K38" t="s">
        <v>194</v>
      </c>
      <c r="L38" t="s">
        <v>194</v>
      </c>
    </row>
    <row r="39" spans="1:12">
      <c r="A39">
        <v>38</v>
      </c>
      <c r="B39" t="s">
        <v>553</v>
      </c>
      <c r="C39" t="s">
        <v>17</v>
      </c>
      <c r="D39" t="s">
        <v>554</v>
      </c>
      <c r="E39" t="s">
        <v>226</v>
      </c>
      <c r="F39" t="s">
        <v>230</v>
      </c>
      <c r="G39" t="s">
        <v>242</v>
      </c>
      <c r="H39" t="s">
        <v>194</v>
      </c>
      <c r="I39" t="s">
        <v>1</v>
      </c>
      <c r="J39" t="s">
        <v>194</v>
      </c>
      <c r="K39" t="s">
        <v>194</v>
      </c>
      <c r="L39" t="s">
        <v>278</v>
      </c>
    </row>
    <row r="40" spans="1:12">
      <c r="A40">
        <v>39</v>
      </c>
      <c r="B40" t="s">
        <v>555</v>
      </c>
      <c r="C40" t="s">
        <v>31</v>
      </c>
      <c r="D40" t="s">
        <v>556</v>
      </c>
      <c r="E40" t="s">
        <v>226</v>
      </c>
      <c r="F40" t="s">
        <v>230</v>
      </c>
      <c r="G40" t="s">
        <v>267</v>
      </c>
      <c r="H40" t="s">
        <v>278</v>
      </c>
      <c r="I40" t="s">
        <v>278</v>
      </c>
      <c r="J40" t="s">
        <v>1</v>
      </c>
      <c r="K40" t="s">
        <v>194</v>
      </c>
      <c r="L40" t="s">
        <v>278</v>
      </c>
    </row>
    <row r="41" spans="1:12">
      <c r="A41">
        <v>40</v>
      </c>
      <c r="B41" t="s">
        <v>557</v>
      </c>
      <c r="C41" t="s">
        <v>44</v>
      </c>
      <c r="D41" t="s">
        <v>558</v>
      </c>
      <c r="E41" t="s">
        <v>226</v>
      </c>
      <c r="F41" t="s">
        <v>230</v>
      </c>
      <c r="G41" t="s">
        <v>267</v>
      </c>
      <c r="H41" t="s">
        <v>194</v>
      </c>
      <c r="I41" t="s">
        <v>138</v>
      </c>
      <c r="J41" t="s">
        <v>194</v>
      </c>
      <c r="K41" t="s">
        <v>1</v>
      </c>
      <c r="L41" t="s">
        <v>278</v>
      </c>
    </row>
    <row r="42" spans="1:12">
      <c r="A42">
        <v>41</v>
      </c>
      <c r="B42" t="s">
        <v>559</v>
      </c>
      <c r="C42" t="s">
        <v>31</v>
      </c>
      <c r="D42" t="s">
        <v>560</v>
      </c>
      <c r="E42" t="s">
        <v>226</v>
      </c>
      <c r="F42" t="s">
        <v>230</v>
      </c>
      <c r="G42" t="s">
        <v>243</v>
      </c>
      <c r="H42" t="s">
        <v>1</v>
      </c>
      <c r="I42" t="s">
        <v>194</v>
      </c>
      <c r="J42" t="s">
        <v>278</v>
      </c>
      <c r="K42" t="s">
        <v>194</v>
      </c>
      <c r="L42" t="s">
        <v>194</v>
      </c>
    </row>
    <row r="43" spans="1:12">
      <c r="A43">
        <v>42</v>
      </c>
      <c r="B43" t="s">
        <v>561</v>
      </c>
      <c r="C43" t="s">
        <v>20</v>
      </c>
      <c r="D43" t="s">
        <v>562</v>
      </c>
      <c r="E43" t="s">
        <v>226</v>
      </c>
      <c r="F43" t="s">
        <v>230</v>
      </c>
      <c r="G43" t="s">
        <v>262</v>
      </c>
      <c r="H43" t="s">
        <v>1</v>
      </c>
      <c r="I43" t="s">
        <v>194</v>
      </c>
      <c r="J43" t="s">
        <v>194</v>
      </c>
      <c r="K43" t="s">
        <v>194</v>
      </c>
      <c r="L43" t="s">
        <v>194</v>
      </c>
    </row>
    <row r="44" spans="1:12">
      <c r="A44">
        <v>43</v>
      </c>
      <c r="B44" t="s">
        <v>563</v>
      </c>
      <c r="C44" t="s">
        <v>31</v>
      </c>
      <c r="D44" t="s">
        <v>564</v>
      </c>
      <c r="E44" t="s">
        <v>226</v>
      </c>
      <c r="F44" t="s">
        <v>230</v>
      </c>
      <c r="G44" t="s">
        <v>241</v>
      </c>
      <c r="H44" t="s">
        <v>194</v>
      </c>
      <c r="I44" t="s">
        <v>194</v>
      </c>
      <c r="J44" t="s">
        <v>1</v>
      </c>
      <c r="K44" t="s">
        <v>194</v>
      </c>
      <c r="L44" t="s">
        <v>194</v>
      </c>
    </row>
    <row r="45" spans="1:12">
      <c r="A45">
        <v>44</v>
      </c>
      <c r="B45" t="s">
        <v>565</v>
      </c>
      <c r="C45" t="s">
        <v>20</v>
      </c>
      <c r="D45" t="s">
        <v>566</v>
      </c>
      <c r="E45" t="s">
        <v>226</v>
      </c>
      <c r="F45" t="s">
        <v>231</v>
      </c>
      <c r="G45" t="s">
        <v>242</v>
      </c>
      <c r="H45" t="s">
        <v>1</v>
      </c>
      <c r="I45" t="s">
        <v>194</v>
      </c>
      <c r="J45" t="s">
        <v>294</v>
      </c>
      <c r="K45" t="s">
        <v>294</v>
      </c>
      <c r="L45" t="s">
        <v>278</v>
      </c>
    </row>
    <row r="46" spans="1:12">
      <c r="A46">
        <v>45</v>
      </c>
      <c r="B46" t="s">
        <v>567</v>
      </c>
      <c r="C46" t="s">
        <v>20</v>
      </c>
      <c r="D46" t="s">
        <v>568</v>
      </c>
      <c r="E46" t="s">
        <v>226</v>
      </c>
      <c r="F46" t="s">
        <v>230</v>
      </c>
      <c r="G46" t="s">
        <v>287</v>
      </c>
      <c r="H46" t="s">
        <v>278</v>
      </c>
      <c r="I46" t="s">
        <v>194</v>
      </c>
      <c r="J46" t="s">
        <v>1</v>
      </c>
      <c r="K46" t="s">
        <v>194</v>
      </c>
      <c r="L46" t="s">
        <v>278</v>
      </c>
    </row>
    <row r="47" spans="1:12">
      <c r="A47">
        <v>46</v>
      </c>
      <c r="B47" t="s">
        <v>569</v>
      </c>
      <c r="C47" t="s">
        <v>17</v>
      </c>
      <c r="D47" t="s">
        <v>570</v>
      </c>
      <c r="E47" t="s">
        <v>226</v>
      </c>
      <c r="F47" t="s">
        <v>231</v>
      </c>
      <c r="G47" t="s">
        <v>230</v>
      </c>
      <c r="H47" t="s">
        <v>278</v>
      </c>
      <c r="I47" t="s">
        <v>1</v>
      </c>
      <c r="J47" t="s">
        <v>194</v>
      </c>
      <c r="K47" t="s">
        <v>278</v>
      </c>
      <c r="L47" t="s">
        <v>194</v>
      </c>
    </row>
    <row r="48" spans="1:12">
      <c r="A48">
        <v>47</v>
      </c>
      <c r="B48" t="s">
        <v>571</v>
      </c>
      <c r="C48" t="s">
        <v>44</v>
      </c>
      <c r="D48" t="s">
        <v>572</v>
      </c>
      <c r="E48" t="s">
        <v>227</v>
      </c>
      <c r="F48" t="s">
        <v>280</v>
      </c>
      <c r="G48" t="s">
        <v>243</v>
      </c>
      <c r="H48" t="s">
        <v>277</v>
      </c>
      <c r="I48" t="s">
        <v>277</v>
      </c>
      <c r="J48" t="s">
        <v>277</v>
      </c>
      <c r="K48" t="s">
        <v>1</v>
      </c>
      <c r="L48" t="s">
        <v>277</v>
      </c>
    </row>
    <row r="49" spans="1:12">
      <c r="A49">
        <v>48</v>
      </c>
      <c r="B49" t="s">
        <v>573</v>
      </c>
      <c r="C49" t="s">
        <v>17</v>
      </c>
      <c r="D49" t="s">
        <v>574</v>
      </c>
      <c r="E49" t="s">
        <v>227</v>
      </c>
      <c r="F49" t="s">
        <v>280</v>
      </c>
      <c r="G49" t="s">
        <v>243</v>
      </c>
      <c r="H49" t="s">
        <v>277</v>
      </c>
      <c r="I49" t="s">
        <v>1</v>
      </c>
      <c r="J49" t="s">
        <v>277</v>
      </c>
      <c r="K49" t="s">
        <v>277</v>
      </c>
      <c r="L49" t="s">
        <v>277</v>
      </c>
    </row>
    <row r="50" spans="1:12">
      <c r="A50">
        <v>49</v>
      </c>
      <c r="B50" t="s">
        <v>575</v>
      </c>
      <c r="C50" t="s">
        <v>17</v>
      </c>
      <c r="D50" t="s">
        <v>576</v>
      </c>
      <c r="E50" t="s">
        <v>226</v>
      </c>
      <c r="F50" t="s">
        <v>230</v>
      </c>
      <c r="G50" t="s">
        <v>243</v>
      </c>
      <c r="H50" t="s">
        <v>194</v>
      </c>
      <c r="I50" t="s">
        <v>1</v>
      </c>
      <c r="J50" t="s">
        <v>194</v>
      </c>
      <c r="K50" t="s">
        <v>278</v>
      </c>
      <c r="L50" t="s">
        <v>278</v>
      </c>
    </row>
    <row r="51" spans="1:12">
      <c r="A51">
        <v>50</v>
      </c>
      <c r="B51" t="s">
        <v>577</v>
      </c>
      <c r="C51" t="s">
        <v>31</v>
      </c>
      <c r="D51" t="s">
        <v>578</v>
      </c>
      <c r="E51" t="s">
        <v>226</v>
      </c>
      <c r="F51" t="s">
        <v>230</v>
      </c>
      <c r="G51" t="s">
        <v>270</v>
      </c>
      <c r="H51" t="s">
        <v>194</v>
      </c>
      <c r="I51" t="s">
        <v>194</v>
      </c>
      <c r="J51" t="s">
        <v>1</v>
      </c>
      <c r="K51" t="s">
        <v>194</v>
      </c>
      <c r="L51" t="s">
        <v>194</v>
      </c>
    </row>
    <row r="52" spans="1:12">
      <c r="A52">
        <v>51</v>
      </c>
      <c r="B52" t="s">
        <v>579</v>
      </c>
      <c r="C52" t="s">
        <v>31</v>
      </c>
      <c r="D52" t="s">
        <v>580</v>
      </c>
      <c r="E52" t="s">
        <v>226</v>
      </c>
      <c r="F52" t="s">
        <v>230</v>
      </c>
      <c r="G52" t="s">
        <v>243</v>
      </c>
      <c r="H52" t="s">
        <v>194</v>
      </c>
      <c r="I52" t="s">
        <v>256</v>
      </c>
      <c r="J52" t="s">
        <v>1</v>
      </c>
      <c r="K52" t="s">
        <v>194</v>
      </c>
      <c r="L52" t="s">
        <v>194</v>
      </c>
    </row>
    <row r="53" spans="1:12">
      <c r="A53">
        <v>52</v>
      </c>
      <c r="B53" t="s">
        <v>581</v>
      </c>
      <c r="C53" t="s">
        <v>44</v>
      </c>
      <c r="D53" t="s">
        <v>582</v>
      </c>
      <c r="E53" t="s">
        <v>228</v>
      </c>
      <c r="F53" t="s">
        <v>235</v>
      </c>
      <c r="G53" t="s">
        <v>250</v>
      </c>
      <c r="H53" t="s">
        <v>194</v>
      </c>
      <c r="I53" t="s">
        <v>194</v>
      </c>
      <c r="J53" t="s">
        <v>194</v>
      </c>
      <c r="K53" t="s">
        <v>1</v>
      </c>
      <c r="L53" t="s">
        <v>194</v>
      </c>
    </row>
    <row r="54" spans="1:12">
      <c r="A54">
        <v>53</v>
      </c>
      <c r="B54" t="s">
        <v>583</v>
      </c>
      <c r="C54" t="s">
        <v>31</v>
      </c>
      <c r="D54" t="s">
        <v>584</v>
      </c>
      <c r="E54" t="s">
        <v>228</v>
      </c>
      <c r="F54" t="s">
        <v>235</v>
      </c>
      <c r="G54" t="s">
        <v>236</v>
      </c>
      <c r="H54" t="s">
        <v>194</v>
      </c>
      <c r="I54" t="s">
        <v>194</v>
      </c>
      <c r="J54" t="s">
        <v>1</v>
      </c>
      <c r="K54" t="s">
        <v>194</v>
      </c>
      <c r="L54" t="s">
        <v>278</v>
      </c>
    </row>
    <row r="55" spans="1:12">
      <c r="A55">
        <v>54</v>
      </c>
      <c r="B55" t="s">
        <v>585</v>
      </c>
      <c r="C55" t="s">
        <v>31</v>
      </c>
      <c r="D55" t="s">
        <v>586</v>
      </c>
      <c r="E55" t="s">
        <v>228</v>
      </c>
      <c r="F55" t="s">
        <v>235</v>
      </c>
      <c r="G55" t="s">
        <v>265</v>
      </c>
      <c r="H55" t="s">
        <v>277</v>
      </c>
      <c r="I55" t="s">
        <v>277</v>
      </c>
      <c r="J55" t="s">
        <v>1</v>
      </c>
      <c r="K55" t="s">
        <v>277</v>
      </c>
      <c r="L55" t="s">
        <v>277</v>
      </c>
    </row>
    <row r="56" spans="1:12">
      <c r="A56">
        <v>55</v>
      </c>
      <c r="B56" t="s">
        <v>587</v>
      </c>
      <c r="C56" t="s">
        <v>44</v>
      </c>
      <c r="D56" t="s">
        <v>588</v>
      </c>
      <c r="E56" t="s">
        <v>228</v>
      </c>
      <c r="F56" t="s">
        <v>235</v>
      </c>
      <c r="G56" t="s">
        <v>265</v>
      </c>
      <c r="H56" t="s">
        <v>194</v>
      </c>
      <c r="I56" t="s">
        <v>194</v>
      </c>
      <c r="J56" t="s">
        <v>194</v>
      </c>
      <c r="K56" t="s">
        <v>1</v>
      </c>
      <c r="L56" t="s">
        <v>194</v>
      </c>
    </row>
    <row r="57" spans="1:12">
      <c r="A57">
        <v>56</v>
      </c>
      <c r="B57" t="s">
        <v>589</v>
      </c>
      <c r="C57" t="s">
        <v>31</v>
      </c>
      <c r="D57" t="s">
        <v>590</v>
      </c>
      <c r="E57" t="s">
        <v>227</v>
      </c>
      <c r="F57" t="s">
        <v>280</v>
      </c>
      <c r="G57" t="s">
        <v>250</v>
      </c>
      <c r="H57" t="s">
        <v>277</v>
      </c>
      <c r="I57" t="s">
        <v>277</v>
      </c>
      <c r="J57" t="s">
        <v>1</v>
      </c>
      <c r="K57" t="s">
        <v>277</v>
      </c>
      <c r="L57" t="s">
        <v>277</v>
      </c>
    </row>
    <row r="58" spans="1:12">
      <c r="A58">
        <v>57</v>
      </c>
      <c r="B58" t="s">
        <v>591</v>
      </c>
      <c r="C58" t="s">
        <v>17</v>
      </c>
      <c r="D58" t="s">
        <v>592</v>
      </c>
      <c r="E58" t="s">
        <v>228</v>
      </c>
      <c r="F58" t="s">
        <v>234</v>
      </c>
      <c r="G58" t="s">
        <v>250</v>
      </c>
      <c r="H58" t="s">
        <v>194</v>
      </c>
      <c r="I58" t="s">
        <v>1</v>
      </c>
      <c r="J58" t="s">
        <v>194</v>
      </c>
      <c r="K58" t="s">
        <v>194</v>
      </c>
      <c r="L58" t="s">
        <v>194</v>
      </c>
    </row>
    <row r="59" spans="1:12">
      <c r="A59">
        <v>58</v>
      </c>
      <c r="B59" t="s">
        <v>153</v>
      </c>
      <c r="C59" t="s">
        <v>31</v>
      </c>
      <c r="D59" t="s">
        <v>593</v>
      </c>
      <c r="E59" t="s">
        <v>367</v>
      </c>
      <c r="F59" t="s">
        <v>239</v>
      </c>
      <c r="G59" t="s">
        <v>292</v>
      </c>
      <c r="H59" t="s">
        <v>194</v>
      </c>
      <c r="I59" t="s">
        <v>278</v>
      </c>
      <c r="J59" t="s">
        <v>1</v>
      </c>
      <c r="K59" t="s">
        <v>194</v>
      </c>
      <c r="L59" t="s">
        <v>194</v>
      </c>
    </row>
    <row r="60" spans="1:12">
      <c r="A60">
        <v>59</v>
      </c>
      <c r="B60" t="s">
        <v>594</v>
      </c>
      <c r="C60" t="s">
        <v>31</v>
      </c>
      <c r="D60" t="s">
        <v>595</v>
      </c>
      <c r="E60" t="s">
        <v>228</v>
      </c>
      <c r="F60" t="s">
        <v>235</v>
      </c>
      <c r="G60" t="s">
        <v>251</v>
      </c>
      <c r="H60" t="s">
        <v>194</v>
      </c>
      <c r="I60" t="s">
        <v>194</v>
      </c>
      <c r="J60" t="s">
        <v>1</v>
      </c>
      <c r="K60" t="s">
        <v>194</v>
      </c>
      <c r="L60" t="s">
        <v>194</v>
      </c>
    </row>
    <row r="61" spans="1:12">
      <c r="A61">
        <v>60</v>
      </c>
      <c r="B61" t="s">
        <v>596</v>
      </c>
      <c r="C61" t="s">
        <v>20</v>
      </c>
      <c r="D61" t="s">
        <v>597</v>
      </c>
      <c r="E61" t="s">
        <v>228</v>
      </c>
      <c r="F61" t="s">
        <v>234</v>
      </c>
      <c r="G61" t="s">
        <v>250</v>
      </c>
      <c r="H61" t="s">
        <v>1</v>
      </c>
      <c r="I61" t="s">
        <v>299</v>
      </c>
      <c r="J61" t="s">
        <v>297</v>
      </c>
      <c r="K61" t="s">
        <v>259</v>
      </c>
      <c r="L61" t="s">
        <v>259</v>
      </c>
    </row>
    <row r="62" spans="1:12">
      <c r="A62">
        <v>61</v>
      </c>
      <c r="B62" t="s">
        <v>598</v>
      </c>
      <c r="C62" t="s">
        <v>20</v>
      </c>
      <c r="D62" t="s">
        <v>599</v>
      </c>
      <c r="E62" t="s">
        <v>228</v>
      </c>
      <c r="F62" t="s">
        <v>234</v>
      </c>
      <c r="G62" t="s">
        <v>250</v>
      </c>
      <c r="H62" t="s">
        <v>1</v>
      </c>
      <c r="I62" t="s">
        <v>259</v>
      </c>
      <c r="J62" t="s">
        <v>299</v>
      </c>
      <c r="K62" t="s">
        <v>299</v>
      </c>
      <c r="L62" t="s">
        <v>259</v>
      </c>
    </row>
    <row r="63" spans="1:12">
      <c r="A63">
        <v>62</v>
      </c>
      <c r="B63" t="s">
        <v>164</v>
      </c>
      <c r="C63" t="s">
        <v>17</v>
      </c>
      <c r="D63" t="s">
        <v>600</v>
      </c>
      <c r="E63" t="s">
        <v>367</v>
      </c>
      <c r="F63" t="s">
        <v>239</v>
      </c>
      <c r="G63" t="s">
        <v>292</v>
      </c>
      <c r="H63" t="s">
        <v>194</v>
      </c>
      <c r="I63" t="s">
        <v>1</v>
      </c>
      <c r="J63" t="s">
        <v>194</v>
      </c>
      <c r="K63" t="s">
        <v>194</v>
      </c>
      <c r="L63" t="s">
        <v>194</v>
      </c>
    </row>
    <row r="64" spans="1:12">
      <c r="A64">
        <v>63</v>
      </c>
      <c r="B64" t="s">
        <v>601</v>
      </c>
      <c r="C64" t="s">
        <v>31</v>
      </c>
      <c r="D64" t="s">
        <v>602</v>
      </c>
      <c r="E64" t="s">
        <v>228</v>
      </c>
      <c r="F64" t="s">
        <v>235</v>
      </c>
      <c r="G64" t="s">
        <v>285</v>
      </c>
      <c r="H64" t="s">
        <v>194</v>
      </c>
      <c r="I64" t="s">
        <v>278</v>
      </c>
      <c r="J64" t="s">
        <v>1</v>
      </c>
      <c r="K64" t="s">
        <v>194</v>
      </c>
      <c r="L64" t="s">
        <v>278</v>
      </c>
    </row>
    <row r="65" spans="1:12">
      <c r="A65">
        <v>64</v>
      </c>
      <c r="B65" t="s">
        <v>603</v>
      </c>
      <c r="C65" t="s">
        <v>20</v>
      </c>
      <c r="D65" t="s">
        <v>604</v>
      </c>
      <c r="E65" t="s">
        <v>227</v>
      </c>
      <c r="F65" t="s">
        <v>266</v>
      </c>
      <c r="G65" t="s">
        <v>246</v>
      </c>
      <c r="H65" t="s">
        <v>1</v>
      </c>
      <c r="I65" t="s">
        <v>277</v>
      </c>
      <c r="J65" t="s">
        <v>277</v>
      </c>
      <c r="K65" t="s">
        <v>277</v>
      </c>
      <c r="L65" t="s">
        <v>277</v>
      </c>
    </row>
    <row r="66" spans="1:12">
      <c r="A66">
        <v>65</v>
      </c>
      <c r="B66" t="s">
        <v>605</v>
      </c>
      <c r="C66" t="s">
        <v>17</v>
      </c>
      <c r="D66" t="s">
        <v>606</v>
      </c>
      <c r="E66" t="s">
        <v>227</v>
      </c>
      <c r="F66" t="s">
        <v>367</v>
      </c>
      <c r="G66" t="s">
        <v>276</v>
      </c>
      <c r="H66" t="s">
        <v>278</v>
      </c>
      <c r="I66" t="s">
        <v>1</v>
      </c>
      <c r="J66" t="s">
        <v>278</v>
      </c>
      <c r="K66" t="s">
        <v>278</v>
      </c>
      <c r="L66" t="s">
        <v>278</v>
      </c>
    </row>
    <row r="67" spans="1:12">
      <c r="A67">
        <v>66</v>
      </c>
      <c r="B67" t="s">
        <v>607</v>
      </c>
      <c r="C67" t="s">
        <v>17</v>
      </c>
      <c r="D67" t="s">
        <v>608</v>
      </c>
      <c r="E67" t="s">
        <v>227</v>
      </c>
      <c r="F67" t="s">
        <v>266</v>
      </c>
      <c r="G67" t="s">
        <v>285</v>
      </c>
      <c r="H67" t="s">
        <v>194</v>
      </c>
      <c r="I67" t="s">
        <v>1</v>
      </c>
      <c r="J67" t="s">
        <v>194</v>
      </c>
      <c r="K67" t="s">
        <v>278</v>
      </c>
      <c r="L67" t="s">
        <v>194</v>
      </c>
    </row>
    <row r="68" spans="1:12">
      <c r="A68">
        <v>67</v>
      </c>
      <c r="B68" t="s">
        <v>609</v>
      </c>
      <c r="C68" t="s">
        <v>31</v>
      </c>
      <c r="D68" t="s">
        <v>610</v>
      </c>
      <c r="E68" t="s">
        <v>227</v>
      </c>
      <c r="F68" t="s">
        <v>245</v>
      </c>
      <c r="G68" t="s">
        <v>247</v>
      </c>
      <c r="H68" t="s">
        <v>194</v>
      </c>
      <c r="I68" t="s">
        <v>194</v>
      </c>
      <c r="J68" t="s">
        <v>1</v>
      </c>
      <c r="K68" t="s">
        <v>194</v>
      </c>
      <c r="L68" t="s">
        <v>194</v>
      </c>
    </row>
    <row r="69" spans="1:12">
      <c r="A69">
        <v>68</v>
      </c>
      <c r="B69" t="s">
        <v>611</v>
      </c>
      <c r="C69" t="s">
        <v>17</v>
      </c>
      <c r="D69" t="s">
        <v>612</v>
      </c>
      <c r="E69" t="s">
        <v>227</v>
      </c>
      <c r="F69" t="s">
        <v>288</v>
      </c>
      <c r="G69" t="s">
        <v>249</v>
      </c>
      <c r="H69" t="s">
        <v>256</v>
      </c>
      <c r="I69" t="s">
        <v>1</v>
      </c>
      <c r="J69" t="s">
        <v>194</v>
      </c>
      <c r="K69" t="s">
        <v>138</v>
      </c>
      <c r="L69" t="s">
        <v>194</v>
      </c>
    </row>
    <row r="70" spans="1:12">
      <c r="A70">
        <v>69</v>
      </c>
      <c r="B70" t="s">
        <v>360</v>
      </c>
      <c r="C70" t="s">
        <v>31</v>
      </c>
      <c r="D70" t="s">
        <v>613</v>
      </c>
      <c r="E70" t="s">
        <v>227</v>
      </c>
      <c r="F70" t="s">
        <v>282</v>
      </c>
      <c r="G70" t="s">
        <v>247</v>
      </c>
      <c r="H70" t="s">
        <v>278</v>
      </c>
      <c r="I70" t="s">
        <v>271</v>
      </c>
      <c r="J70" t="s">
        <v>1</v>
      </c>
      <c r="K70" t="s">
        <v>194</v>
      </c>
      <c r="L70" t="s">
        <v>194</v>
      </c>
    </row>
    <row r="71" spans="1:12">
      <c r="A71">
        <v>70</v>
      </c>
      <c r="B71" t="s">
        <v>614</v>
      </c>
      <c r="C71" t="s">
        <v>44</v>
      </c>
      <c r="D71" t="s">
        <v>615</v>
      </c>
      <c r="E71" t="s">
        <v>227</v>
      </c>
      <c r="F71" t="s">
        <v>247</v>
      </c>
      <c r="G71" t="s">
        <v>265</v>
      </c>
      <c r="H71" t="s">
        <v>256</v>
      </c>
      <c r="I71" t="s">
        <v>256</v>
      </c>
      <c r="J71" t="s">
        <v>271</v>
      </c>
      <c r="K71" t="s">
        <v>1</v>
      </c>
      <c r="L71" t="s">
        <v>194</v>
      </c>
    </row>
    <row r="72" spans="1:12">
      <c r="A72">
        <v>71</v>
      </c>
      <c r="B72" t="s">
        <v>616</v>
      </c>
      <c r="C72" t="s">
        <v>44</v>
      </c>
      <c r="D72" t="s">
        <v>617</v>
      </c>
      <c r="E72" t="s">
        <v>227</v>
      </c>
      <c r="F72" t="s">
        <v>280</v>
      </c>
      <c r="G72" t="s">
        <v>283</v>
      </c>
      <c r="H72" t="s">
        <v>278</v>
      </c>
      <c r="I72" t="s">
        <v>278</v>
      </c>
      <c r="J72" t="s">
        <v>278</v>
      </c>
      <c r="K72" t="s">
        <v>1</v>
      </c>
      <c r="L72" t="s">
        <v>278</v>
      </c>
    </row>
    <row r="73" spans="1:12">
      <c r="A73">
        <v>72</v>
      </c>
      <c r="B73" t="s">
        <v>618</v>
      </c>
      <c r="C73" t="s">
        <v>44</v>
      </c>
      <c r="D73" t="s">
        <v>619</v>
      </c>
      <c r="E73" t="s">
        <v>227</v>
      </c>
      <c r="F73" t="s">
        <v>247</v>
      </c>
      <c r="G73" t="s">
        <v>265</v>
      </c>
      <c r="H73" t="s">
        <v>256</v>
      </c>
      <c r="I73" t="s">
        <v>256</v>
      </c>
      <c r="J73" t="s">
        <v>271</v>
      </c>
      <c r="K73" t="s">
        <v>1</v>
      </c>
      <c r="L73" t="s">
        <v>194</v>
      </c>
    </row>
    <row r="74" spans="1:12">
      <c r="A74">
        <v>73</v>
      </c>
      <c r="B74" t="s">
        <v>620</v>
      </c>
      <c r="C74" t="s">
        <v>20</v>
      </c>
      <c r="D74" t="s">
        <v>621</v>
      </c>
      <c r="E74" t="s">
        <v>227</v>
      </c>
      <c r="F74" t="s">
        <v>266</v>
      </c>
      <c r="G74" t="s">
        <v>285</v>
      </c>
      <c r="H74" t="s">
        <v>1</v>
      </c>
      <c r="I74" t="s">
        <v>194</v>
      </c>
      <c r="J74" t="s">
        <v>194</v>
      </c>
      <c r="K74" t="s">
        <v>278</v>
      </c>
      <c r="L74" t="s">
        <v>138</v>
      </c>
    </row>
    <row r="75" spans="1:12">
      <c r="A75">
        <v>74</v>
      </c>
      <c r="B75" t="s">
        <v>622</v>
      </c>
      <c r="C75" t="s">
        <v>31</v>
      </c>
      <c r="D75" t="s">
        <v>623</v>
      </c>
      <c r="E75" t="s">
        <v>226</v>
      </c>
      <c r="F75" t="s">
        <v>232</v>
      </c>
      <c r="G75" t="s">
        <v>285</v>
      </c>
      <c r="H75" t="s">
        <v>194</v>
      </c>
      <c r="I75" t="s">
        <v>194</v>
      </c>
      <c r="J75" t="s">
        <v>1</v>
      </c>
      <c r="K75" t="s">
        <v>194</v>
      </c>
      <c r="L75" t="s">
        <v>194</v>
      </c>
    </row>
    <row r="76" spans="1:12">
      <c r="A76">
        <v>75</v>
      </c>
      <c r="B76" t="s">
        <v>624</v>
      </c>
      <c r="C76" t="s">
        <v>31</v>
      </c>
      <c r="D76" t="s">
        <v>625</v>
      </c>
      <c r="E76" t="s">
        <v>226</v>
      </c>
      <c r="F76" t="s">
        <v>232</v>
      </c>
      <c r="G76" t="s">
        <v>285</v>
      </c>
      <c r="H76" t="s">
        <v>277</v>
      </c>
      <c r="I76" t="s">
        <v>277</v>
      </c>
      <c r="J76" t="s">
        <v>1</v>
      </c>
      <c r="K76" t="s">
        <v>277</v>
      </c>
      <c r="L76" t="s">
        <v>277</v>
      </c>
    </row>
    <row r="77" spans="1:12">
      <c r="A77">
        <v>76</v>
      </c>
      <c r="B77" t="s">
        <v>626</v>
      </c>
      <c r="C77" t="s">
        <v>31</v>
      </c>
      <c r="D77" t="s">
        <v>627</v>
      </c>
      <c r="E77" t="s">
        <v>226</v>
      </c>
      <c r="F77" t="s">
        <v>232</v>
      </c>
      <c r="G77" t="s">
        <v>280</v>
      </c>
      <c r="H77" t="s">
        <v>194</v>
      </c>
      <c r="I77" t="s">
        <v>194</v>
      </c>
      <c r="J77" t="s">
        <v>1</v>
      </c>
      <c r="K77" t="s">
        <v>194</v>
      </c>
      <c r="L77" t="s">
        <v>194</v>
      </c>
    </row>
    <row r="78" spans="1:12">
      <c r="A78">
        <v>77</v>
      </c>
      <c r="B78" t="s">
        <v>628</v>
      </c>
      <c r="C78" t="s">
        <v>31</v>
      </c>
      <c r="D78" t="s">
        <v>629</v>
      </c>
      <c r="E78" t="s">
        <v>226</v>
      </c>
      <c r="F78" t="s">
        <v>232</v>
      </c>
      <c r="G78" t="s">
        <v>262</v>
      </c>
      <c r="H78" t="s">
        <v>194</v>
      </c>
      <c r="I78" t="s">
        <v>194</v>
      </c>
      <c r="J78" t="s">
        <v>1</v>
      </c>
      <c r="K78" t="s">
        <v>194</v>
      </c>
      <c r="L78" t="s">
        <v>194</v>
      </c>
    </row>
    <row r="79" spans="1:12">
      <c r="A79">
        <v>78</v>
      </c>
      <c r="B79" t="s">
        <v>630</v>
      </c>
      <c r="C79" t="s">
        <v>17</v>
      </c>
      <c r="D79" t="s">
        <v>631</v>
      </c>
      <c r="E79" t="s">
        <v>227</v>
      </c>
      <c r="F79" t="s">
        <v>282</v>
      </c>
      <c r="G79" t="s">
        <v>247</v>
      </c>
      <c r="H79" t="s">
        <v>194</v>
      </c>
      <c r="I79" t="s">
        <v>1</v>
      </c>
      <c r="J79" t="s">
        <v>194</v>
      </c>
      <c r="K79" t="s">
        <v>194</v>
      </c>
      <c r="L79" t="s">
        <v>194</v>
      </c>
    </row>
    <row r="80" spans="1:12">
      <c r="A80">
        <v>79</v>
      </c>
      <c r="B80" t="s">
        <v>632</v>
      </c>
      <c r="C80" t="s">
        <v>31</v>
      </c>
      <c r="D80" t="s">
        <v>633</v>
      </c>
      <c r="E80" t="s">
        <v>227</v>
      </c>
      <c r="F80" t="s">
        <v>247</v>
      </c>
      <c r="G80" t="s">
        <v>276</v>
      </c>
      <c r="H80" t="s">
        <v>277</v>
      </c>
      <c r="I80" t="s">
        <v>277</v>
      </c>
      <c r="J80" t="s">
        <v>1</v>
      </c>
      <c r="K80" t="s">
        <v>277</v>
      </c>
      <c r="L80" t="s">
        <v>277</v>
      </c>
    </row>
    <row r="81" spans="1:12">
      <c r="A81">
        <v>80</v>
      </c>
      <c r="B81" t="s">
        <v>634</v>
      </c>
      <c r="C81" t="s">
        <v>31</v>
      </c>
      <c r="D81" t="s">
        <v>635</v>
      </c>
      <c r="E81" t="s">
        <v>227</v>
      </c>
      <c r="F81" t="s">
        <v>266</v>
      </c>
      <c r="G81" t="s">
        <v>285</v>
      </c>
      <c r="H81" t="s">
        <v>194</v>
      </c>
      <c r="I81" t="s">
        <v>194</v>
      </c>
      <c r="J81" t="s">
        <v>1</v>
      </c>
      <c r="K81" t="s">
        <v>194</v>
      </c>
      <c r="L81" t="s">
        <v>278</v>
      </c>
    </row>
    <row r="82" spans="1:12">
      <c r="A82">
        <v>81</v>
      </c>
      <c r="B82" t="s">
        <v>636</v>
      </c>
      <c r="C82" t="s">
        <v>17</v>
      </c>
      <c r="D82" t="s">
        <v>637</v>
      </c>
      <c r="E82" t="s">
        <v>227</v>
      </c>
      <c r="F82" t="s">
        <v>247</v>
      </c>
      <c r="G82" t="s">
        <v>265</v>
      </c>
      <c r="H82" t="s">
        <v>194</v>
      </c>
      <c r="I82" t="s">
        <v>1</v>
      </c>
      <c r="J82" t="s">
        <v>194</v>
      </c>
      <c r="K82" t="s">
        <v>194</v>
      </c>
      <c r="L82" t="s">
        <v>194</v>
      </c>
    </row>
  </sheetData>
  <conditionalFormatting sqref="B38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2B4AC-AA3E-486F-AA22-B5E796120EA1}">
  <dimension ref="A1:T41"/>
  <sheetViews>
    <sheetView workbookViewId="0">
      <selection activeCell="O6" sqref="O6"/>
    </sheetView>
  </sheetViews>
  <sheetFormatPr defaultRowHeight="12.75"/>
  <sheetData>
    <row r="1" spans="1:20">
      <c r="A1" t="s">
        <v>28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345</v>
      </c>
      <c r="J1" t="s">
        <v>8</v>
      </c>
      <c r="K1" t="s">
        <v>7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346</v>
      </c>
    </row>
    <row r="2" spans="1:20">
      <c r="A2">
        <v>1</v>
      </c>
      <c r="B2" t="s">
        <v>347</v>
      </c>
      <c r="C2" t="s">
        <v>348</v>
      </c>
      <c r="D2">
        <v>1</v>
      </c>
      <c r="E2">
        <v>2</v>
      </c>
      <c r="F2">
        <v>3</v>
      </c>
      <c r="G2">
        <v>4</v>
      </c>
      <c r="H2">
        <v>6</v>
      </c>
      <c r="I2" t="s">
        <v>227</v>
      </c>
      <c r="J2" t="s">
        <v>282</v>
      </c>
      <c r="K2" t="s">
        <v>349</v>
      </c>
      <c r="L2" t="s">
        <v>304</v>
      </c>
      <c r="M2" t="s">
        <v>350</v>
      </c>
      <c r="N2">
        <v>0.45</v>
      </c>
      <c r="O2" t="s">
        <v>138</v>
      </c>
      <c r="P2" t="s">
        <v>1</v>
      </c>
      <c r="Q2" t="s">
        <v>271</v>
      </c>
      <c r="R2" t="s">
        <v>194</v>
      </c>
      <c r="S2" t="s">
        <v>194</v>
      </c>
      <c r="T2" t="s">
        <v>351</v>
      </c>
    </row>
    <row r="3" spans="1:20">
      <c r="A3">
        <v>2</v>
      </c>
      <c r="B3" t="s">
        <v>352</v>
      </c>
      <c r="C3" t="s">
        <v>353</v>
      </c>
      <c r="D3" t="s">
        <v>21</v>
      </c>
      <c r="E3" t="s">
        <v>22</v>
      </c>
      <c r="F3" t="s">
        <v>23</v>
      </c>
      <c r="G3" t="s">
        <v>24</v>
      </c>
      <c r="H3" t="s">
        <v>25</v>
      </c>
      <c r="I3" t="s">
        <v>228</v>
      </c>
      <c r="J3" t="s">
        <v>234</v>
      </c>
      <c r="K3" t="s">
        <v>250</v>
      </c>
      <c r="L3" t="s">
        <v>354</v>
      </c>
      <c r="M3" t="s">
        <v>355</v>
      </c>
      <c r="N3">
        <v>0.6</v>
      </c>
      <c r="O3" t="s">
        <v>1</v>
      </c>
      <c r="P3" t="s">
        <v>299</v>
      </c>
      <c r="Q3" t="s">
        <v>299</v>
      </c>
      <c r="R3" t="s">
        <v>259</v>
      </c>
      <c r="S3" t="s">
        <v>299</v>
      </c>
      <c r="T3" t="s">
        <v>356</v>
      </c>
    </row>
    <row r="4" spans="1:20">
      <c r="A4">
        <v>3</v>
      </c>
      <c r="B4" t="s">
        <v>357</v>
      </c>
      <c r="C4" t="s">
        <v>348</v>
      </c>
      <c r="D4">
        <v>0</v>
      </c>
      <c r="E4" t="s">
        <v>358</v>
      </c>
      <c r="F4">
        <v>1</v>
      </c>
      <c r="G4" t="s">
        <v>42</v>
      </c>
      <c r="H4">
        <v>5</v>
      </c>
      <c r="I4" t="s">
        <v>226</v>
      </c>
      <c r="J4" t="s">
        <v>231</v>
      </c>
      <c r="K4" t="s">
        <v>285</v>
      </c>
      <c r="L4" t="s">
        <v>308</v>
      </c>
      <c r="M4" t="s">
        <v>355</v>
      </c>
      <c r="N4">
        <v>0.55000000000000004</v>
      </c>
      <c r="O4" t="s">
        <v>278</v>
      </c>
      <c r="P4" t="s">
        <v>1</v>
      </c>
      <c r="Q4" t="s">
        <v>194</v>
      </c>
      <c r="R4" t="s">
        <v>294</v>
      </c>
      <c r="S4" t="s">
        <v>194</v>
      </c>
      <c r="T4" t="s">
        <v>359</v>
      </c>
    </row>
    <row r="5" spans="1:20">
      <c r="A5">
        <v>4</v>
      </c>
      <c r="B5" t="s">
        <v>360</v>
      </c>
      <c r="C5" t="s">
        <v>361</v>
      </c>
      <c r="D5">
        <v>1</v>
      </c>
      <c r="E5">
        <v>2</v>
      </c>
      <c r="F5">
        <v>4</v>
      </c>
      <c r="G5">
        <v>5</v>
      </c>
      <c r="H5">
        <v>8</v>
      </c>
      <c r="I5" t="s">
        <v>227</v>
      </c>
      <c r="J5" t="s">
        <v>281</v>
      </c>
      <c r="K5" t="s">
        <v>362</v>
      </c>
      <c r="L5" t="s">
        <v>303</v>
      </c>
      <c r="M5" t="s">
        <v>363</v>
      </c>
      <c r="N5">
        <v>0.4</v>
      </c>
      <c r="O5" t="s">
        <v>275</v>
      </c>
      <c r="P5" t="s">
        <v>194</v>
      </c>
      <c r="Q5" t="s">
        <v>1</v>
      </c>
      <c r="R5" t="s">
        <v>194</v>
      </c>
      <c r="S5" t="s">
        <v>194</v>
      </c>
      <c r="T5" t="s">
        <v>364</v>
      </c>
    </row>
    <row r="6" spans="1:20">
      <c r="A6">
        <v>5</v>
      </c>
      <c r="B6" t="s">
        <v>365</v>
      </c>
      <c r="C6" t="s">
        <v>366</v>
      </c>
      <c r="D6">
        <v>24</v>
      </c>
      <c r="E6">
        <v>32</v>
      </c>
      <c r="F6">
        <v>36</v>
      </c>
      <c r="G6">
        <v>48</v>
      </c>
      <c r="H6">
        <v>54</v>
      </c>
      <c r="I6" t="s">
        <v>367</v>
      </c>
      <c r="J6" t="s">
        <v>239</v>
      </c>
      <c r="K6" t="s">
        <v>368</v>
      </c>
      <c r="L6" t="s">
        <v>303</v>
      </c>
      <c r="M6" t="s">
        <v>363</v>
      </c>
      <c r="N6">
        <v>0.35</v>
      </c>
      <c r="O6" t="s">
        <v>194</v>
      </c>
      <c r="P6" t="s">
        <v>194</v>
      </c>
      <c r="Q6" t="s">
        <v>194</v>
      </c>
      <c r="R6" t="s">
        <v>1</v>
      </c>
      <c r="S6" t="s">
        <v>194</v>
      </c>
      <c r="T6" t="s">
        <v>369</v>
      </c>
    </row>
    <row r="7" spans="1:20">
      <c r="A7">
        <v>6</v>
      </c>
      <c r="B7" t="s">
        <v>370</v>
      </c>
      <c r="C7" t="s">
        <v>361</v>
      </c>
      <c r="D7" t="s">
        <v>371</v>
      </c>
      <c r="E7" t="s">
        <v>372</v>
      </c>
      <c r="F7" t="s">
        <v>61</v>
      </c>
      <c r="G7" t="s">
        <v>373</v>
      </c>
      <c r="H7" t="s">
        <v>62</v>
      </c>
      <c r="I7" t="s">
        <v>367</v>
      </c>
      <c r="J7" t="s">
        <v>239</v>
      </c>
      <c r="K7" t="s">
        <v>374</v>
      </c>
      <c r="L7" t="s">
        <v>304</v>
      </c>
      <c r="M7" t="s">
        <v>350</v>
      </c>
      <c r="N7">
        <v>0.42</v>
      </c>
      <c r="O7" t="s">
        <v>194</v>
      </c>
      <c r="P7" t="s">
        <v>194</v>
      </c>
      <c r="Q7" t="s">
        <v>1</v>
      </c>
      <c r="R7" t="s">
        <v>194</v>
      </c>
      <c r="S7" t="s">
        <v>300</v>
      </c>
      <c r="T7" t="s">
        <v>375</v>
      </c>
    </row>
    <row r="8" spans="1:20">
      <c r="A8">
        <v>7</v>
      </c>
      <c r="B8" t="s">
        <v>376</v>
      </c>
      <c r="C8" t="s">
        <v>353</v>
      </c>
      <c r="D8">
        <v>0</v>
      </c>
      <c r="E8">
        <v>0.5</v>
      </c>
      <c r="F8">
        <v>1</v>
      </c>
      <c r="G8">
        <v>2</v>
      </c>
      <c r="H8">
        <v>4</v>
      </c>
      <c r="I8" t="s">
        <v>226</v>
      </c>
      <c r="J8" t="s">
        <v>230</v>
      </c>
      <c r="K8" t="s">
        <v>305</v>
      </c>
      <c r="L8" t="s">
        <v>303</v>
      </c>
      <c r="M8" t="s">
        <v>363</v>
      </c>
      <c r="N8">
        <v>0.38</v>
      </c>
      <c r="O8" t="s">
        <v>1</v>
      </c>
      <c r="P8" t="s">
        <v>294</v>
      </c>
      <c r="Q8" t="s">
        <v>194</v>
      </c>
      <c r="R8" t="s">
        <v>278</v>
      </c>
      <c r="S8" t="s">
        <v>194</v>
      </c>
      <c r="T8" t="s">
        <v>377</v>
      </c>
    </row>
    <row r="9" spans="1:20">
      <c r="A9">
        <v>8</v>
      </c>
      <c r="B9" t="s">
        <v>378</v>
      </c>
      <c r="C9" t="s">
        <v>348</v>
      </c>
      <c r="D9">
        <v>-1</v>
      </c>
      <c r="E9">
        <v>0</v>
      </c>
      <c r="F9">
        <v>1</v>
      </c>
      <c r="G9">
        <v>2</v>
      </c>
      <c r="H9">
        <v>3</v>
      </c>
      <c r="I9" t="s">
        <v>227</v>
      </c>
      <c r="J9" t="s">
        <v>281</v>
      </c>
      <c r="K9" t="s">
        <v>379</v>
      </c>
      <c r="L9" t="s">
        <v>304</v>
      </c>
      <c r="M9" t="s">
        <v>350</v>
      </c>
      <c r="N9">
        <v>0.44</v>
      </c>
      <c r="O9" t="s">
        <v>194</v>
      </c>
      <c r="P9" t="s">
        <v>1</v>
      </c>
      <c r="Q9" t="s">
        <v>194</v>
      </c>
      <c r="R9" t="s">
        <v>194</v>
      </c>
      <c r="S9" t="s">
        <v>194</v>
      </c>
      <c r="T9" t="s">
        <v>380</v>
      </c>
    </row>
    <row r="10" spans="1:20">
      <c r="A10">
        <v>9</v>
      </c>
      <c r="B10" t="s">
        <v>381</v>
      </c>
      <c r="C10" t="s">
        <v>361</v>
      </c>
      <c r="D10" t="s">
        <v>57</v>
      </c>
      <c r="E10" t="s">
        <v>58</v>
      </c>
      <c r="F10" t="s">
        <v>382</v>
      </c>
      <c r="G10" t="s">
        <v>59</v>
      </c>
      <c r="H10" t="s">
        <v>383</v>
      </c>
      <c r="I10" t="s">
        <v>367</v>
      </c>
      <c r="J10" t="s">
        <v>237</v>
      </c>
      <c r="K10" t="s">
        <v>254</v>
      </c>
      <c r="L10" t="s">
        <v>304</v>
      </c>
      <c r="M10" t="s">
        <v>350</v>
      </c>
      <c r="N10">
        <v>0.43</v>
      </c>
      <c r="O10" t="s">
        <v>278</v>
      </c>
      <c r="P10" t="s">
        <v>299</v>
      </c>
      <c r="Q10" t="s">
        <v>1</v>
      </c>
      <c r="R10" t="s">
        <v>194</v>
      </c>
      <c r="S10" t="s">
        <v>194</v>
      </c>
      <c r="T10" t="s">
        <v>384</v>
      </c>
    </row>
    <row r="11" spans="1:20">
      <c r="A11">
        <v>10</v>
      </c>
      <c r="B11" t="s">
        <v>60</v>
      </c>
      <c r="C11" t="s">
        <v>361</v>
      </c>
      <c r="D11" t="s">
        <v>371</v>
      </c>
      <c r="E11" t="s">
        <v>372</v>
      </c>
      <c r="F11" t="s">
        <v>61</v>
      </c>
      <c r="G11" t="s">
        <v>373</v>
      </c>
      <c r="H11" t="s">
        <v>62</v>
      </c>
      <c r="I11" t="s">
        <v>367</v>
      </c>
      <c r="J11" t="s">
        <v>239</v>
      </c>
      <c r="K11" t="s">
        <v>374</v>
      </c>
      <c r="L11" t="s">
        <v>304</v>
      </c>
      <c r="M11" t="s">
        <v>350</v>
      </c>
      <c r="N11">
        <v>0.48</v>
      </c>
      <c r="O11" t="s">
        <v>194</v>
      </c>
      <c r="P11" t="s">
        <v>194</v>
      </c>
      <c r="Q11" t="s">
        <v>1</v>
      </c>
      <c r="R11" t="s">
        <v>194</v>
      </c>
      <c r="S11" t="s">
        <v>300</v>
      </c>
      <c r="T11" t="s">
        <v>385</v>
      </c>
    </row>
    <row r="12" spans="1:20">
      <c r="A12">
        <v>11</v>
      </c>
      <c r="B12" t="s">
        <v>386</v>
      </c>
      <c r="C12" t="s">
        <v>361</v>
      </c>
      <c r="D12" t="s">
        <v>387</v>
      </c>
      <c r="E12" t="s">
        <v>388</v>
      </c>
      <c r="F12" t="s">
        <v>389</v>
      </c>
      <c r="G12" t="s">
        <v>390</v>
      </c>
      <c r="H12" t="s">
        <v>391</v>
      </c>
      <c r="I12" t="s">
        <v>367</v>
      </c>
      <c r="J12" t="s">
        <v>239</v>
      </c>
      <c r="K12" t="s">
        <v>374</v>
      </c>
      <c r="L12" t="s">
        <v>303</v>
      </c>
      <c r="M12" t="s">
        <v>363</v>
      </c>
      <c r="N12">
        <v>0.37</v>
      </c>
      <c r="O12" t="s">
        <v>194</v>
      </c>
      <c r="P12" t="s">
        <v>194</v>
      </c>
      <c r="Q12" t="s">
        <v>1</v>
      </c>
      <c r="R12" t="s">
        <v>194</v>
      </c>
      <c r="S12" t="s">
        <v>194</v>
      </c>
      <c r="T12" t="s">
        <v>392</v>
      </c>
    </row>
    <row r="13" spans="1:20">
      <c r="A13">
        <v>12</v>
      </c>
      <c r="B13" t="s">
        <v>68</v>
      </c>
      <c r="C13" t="s">
        <v>353</v>
      </c>
      <c r="D13" t="s">
        <v>393</v>
      </c>
      <c r="E13" t="s">
        <v>394</v>
      </c>
      <c r="F13" t="s">
        <v>395</v>
      </c>
      <c r="G13" t="s">
        <v>396</v>
      </c>
      <c r="H13" t="s">
        <v>397</v>
      </c>
      <c r="I13" t="s">
        <v>367</v>
      </c>
      <c r="J13" t="s">
        <v>239</v>
      </c>
      <c r="K13" t="s">
        <v>398</v>
      </c>
      <c r="L13" t="s">
        <v>304</v>
      </c>
      <c r="M13" t="s">
        <v>350</v>
      </c>
      <c r="N13">
        <v>0.46</v>
      </c>
      <c r="O13" t="s">
        <v>1</v>
      </c>
      <c r="P13" t="s">
        <v>194</v>
      </c>
      <c r="Q13" t="s">
        <v>194</v>
      </c>
      <c r="R13" t="s">
        <v>194</v>
      </c>
      <c r="S13" t="s">
        <v>194</v>
      </c>
      <c r="T13" t="s">
        <v>399</v>
      </c>
    </row>
    <row r="14" spans="1:20">
      <c r="A14">
        <v>13</v>
      </c>
      <c r="B14" t="s">
        <v>400</v>
      </c>
      <c r="C14" t="s">
        <v>353</v>
      </c>
      <c r="D14" t="s">
        <v>79</v>
      </c>
      <c r="E14" t="s">
        <v>75</v>
      </c>
      <c r="F14" t="s">
        <v>76</v>
      </c>
      <c r="G14" t="s">
        <v>77</v>
      </c>
      <c r="H14" t="s">
        <v>78</v>
      </c>
      <c r="I14" t="s">
        <v>228</v>
      </c>
      <c r="J14" t="s">
        <v>235</v>
      </c>
      <c r="K14" t="s">
        <v>401</v>
      </c>
      <c r="L14" t="s">
        <v>304</v>
      </c>
      <c r="M14" t="s">
        <v>350</v>
      </c>
      <c r="N14">
        <v>0.44</v>
      </c>
      <c r="O14" t="s">
        <v>1</v>
      </c>
      <c r="P14" t="s">
        <v>194</v>
      </c>
      <c r="Q14" t="s">
        <v>194</v>
      </c>
      <c r="R14" t="s">
        <v>194</v>
      </c>
      <c r="S14" t="s">
        <v>194</v>
      </c>
      <c r="T14" t="s">
        <v>402</v>
      </c>
    </row>
    <row r="15" spans="1:20">
      <c r="A15">
        <v>14</v>
      </c>
      <c r="B15" t="s">
        <v>403</v>
      </c>
      <c r="C15" t="s">
        <v>353</v>
      </c>
      <c r="D15" t="s">
        <v>79</v>
      </c>
      <c r="E15" t="s">
        <v>80</v>
      </c>
      <c r="F15" t="s">
        <v>75</v>
      </c>
      <c r="G15" t="s">
        <v>81</v>
      </c>
      <c r="H15" t="s">
        <v>76</v>
      </c>
      <c r="I15" t="s">
        <v>228</v>
      </c>
      <c r="J15" t="s">
        <v>235</v>
      </c>
      <c r="K15" t="s">
        <v>404</v>
      </c>
      <c r="L15" t="s">
        <v>304</v>
      </c>
      <c r="M15" t="s">
        <v>350</v>
      </c>
      <c r="N15">
        <v>0.45</v>
      </c>
      <c r="O15" t="s">
        <v>1</v>
      </c>
      <c r="P15" t="s">
        <v>194</v>
      </c>
      <c r="Q15" t="s">
        <v>194</v>
      </c>
      <c r="R15" t="s">
        <v>194</v>
      </c>
      <c r="S15" t="s">
        <v>194</v>
      </c>
      <c r="T15" t="s">
        <v>405</v>
      </c>
    </row>
    <row r="16" spans="1:20">
      <c r="A16">
        <v>15</v>
      </c>
      <c r="B16" t="s">
        <v>82</v>
      </c>
      <c r="C16" t="s">
        <v>366</v>
      </c>
      <c r="D16" t="s">
        <v>83</v>
      </c>
      <c r="E16" t="s">
        <v>79</v>
      </c>
      <c r="F16" t="s">
        <v>76</v>
      </c>
      <c r="G16" t="s">
        <v>78</v>
      </c>
      <c r="H16" t="s">
        <v>84</v>
      </c>
      <c r="I16" t="s">
        <v>227</v>
      </c>
      <c r="J16" t="s">
        <v>283</v>
      </c>
      <c r="K16" t="s">
        <v>406</v>
      </c>
      <c r="L16" t="s">
        <v>304</v>
      </c>
      <c r="M16" t="s">
        <v>350</v>
      </c>
      <c r="N16">
        <v>0.46</v>
      </c>
      <c r="O16" t="s">
        <v>194</v>
      </c>
      <c r="P16" t="s">
        <v>194</v>
      </c>
      <c r="Q16" t="s">
        <v>194</v>
      </c>
      <c r="R16" t="s">
        <v>1</v>
      </c>
      <c r="S16" t="s">
        <v>194</v>
      </c>
      <c r="T16" t="s">
        <v>407</v>
      </c>
    </row>
    <row r="17" spans="1:20">
      <c r="A17">
        <v>16</v>
      </c>
      <c r="B17" t="s">
        <v>408</v>
      </c>
      <c r="C17" t="s">
        <v>348</v>
      </c>
      <c r="D17" t="s">
        <v>85</v>
      </c>
      <c r="E17" t="s">
        <v>83</v>
      </c>
      <c r="F17" t="s">
        <v>75</v>
      </c>
      <c r="G17" t="s">
        <v>76</v>
      </c>
      <c r="H17" t="s">
        <v>77</v>
      </c>
      <c r="I17" t="s">
        <v>227</v>
      </c>
      <c r="J17" t="s">
        <v>283</v>
      </c>
      <c r="K17" t="s">
        <v>409</v>
      </c>
      <c r="L17" t="s">
        <v>303</v>
      </c>
      <c r="M17" t="s">
        <v>363</v>
      </c>
      <c r="N17">
        <v>0.39</v>
      </c>
      <c r="O17" t="s">
        <v>194</v>
      </c>
      <c r="P17" t="s">
        <v>1</v>
      </c>
      <c r="Q17" t="s">
        <v>194</v>
      </c>
      <c r="R17" t="s">
        <v>194</v>
      </c>
      <c r="S17" t="s">
        <v>194</v>
      </c>
      <c r="T17" t="s">
        <v>410</v>
      </c>
    </row>
    <row r="18" spans="1:20">
      <c r="A18">
        <v>17</v>
      </c>
      <c r="B18" t="s">
        <v>411</v>
      </c>
      <c r="C18" t="s">
        <v>361</v>
      </c>
      <c r="D18" t="s">
        <v>85</v>
      </c>
      <c r="E18" t="s">
        <v>83</v>
      </c>
      <c r="F18" t="s">
        <v>87</v>
      </c>
      <c r="G18" t="s">
        <v>79</v>
      </c>
      <c r="H18" t="s">
        <v>75</v>
      </c>
      <c r="I18" t="s">
        <v>227</v>
      </c>
      <c r="J18" t="s">
        <v>281</v>
      </c>
      <c r="K18" t="s">
        <v>379</v>
      </c>
      <c r="L18" t="s">
        <v>304</v>
      </c>
      <c r="M18" t="s">
        <v>350</v>
      </c>
      <c r="N18">
        <v>0.47</v>
      </c>
      <c r="O18" t="s">
        <v>194</v>
      </c>
      <c r="P18" t="s">
        <v>194</v>
      </c>
      <c r="Q18" t="s">
        <v>1</v>
      </c>
      <c r="R18" t="s">
        <v>194</v>
      </c>
      <c r="S18" t="s">
        <v>194</v>
      </c>
      <c r="T18" t="s">
        <v>412</v>
      </c>
    </row>
    <row r="19" spans="1:20">
      <c r="A19">
        <v>18</v>
      </c>
      <c r="B19" t="s">
        <v>413</v>
      </c>
      <c r="C19" t="s">
        <v>353</v>
      </c>
      <c r="D19" t="s">
        <v>387</v>
      </c>
      <c r="E19" t="s">
        <v>414</v>
      </c>
      <c r="F19" t="s">
        <v>415</v>
      </c>
      <c r="G19" t="s">
        <v>79</v>
      </c>
      <c r="H19" t="s">
        <v>75</v>
      </c>
      <c r="I19" t="s">
        <v>228</v>
      </c>
      <c r="J19" t="s">
        <v>235</v>
      </c>
      <c r="K19" t="s">
        <v>416</v>
      </c>
      <c r="L19" t="s">
        <v>303</v>
      </c>
      <c r="M19" t="s">
        <v>363</v>
      </c>
      <c r="N19">
        <v>0.38</v>
      </c>
      <c r="O19" t="s">
        <v>1</v>
      </c>
      <c r="P19" t="s">
        <v>194</v>
      </c>
      <c r="Q19" t="s">
        <v>194</v>
      </c>
      <c r="R19" t="s">
        <v>194</v>
      </c>
      <c r="S19" t="s">
        <v>194</v>
      </c>
      <c r="T19" t="s">
        <v>417</v>
      </c>
    </row>
    <row r="20" spans="1:20">
      <c r="A20">
        <v>19</v>
      </c>
      <c r="B20" t="s">
        <v>418</v>
      </c>
      <c r="C20" t="s">
        <v>361</v>
      </c>
      <c r="D20" t="s">
        <v>390</v>
      </c>
      <c r="E20" t="s">
        <v>75</v>
      </c>
      <c r="F20" t="s">
        <v>419</v>
      </c>
      <c r="G20" t="s">
        <v>420</v>
      </c>
      <c r="H20" t="s">
        <v>421</v>
      </c>
      <c r="I20" t="s">
        <v>367</v>
      </c>
      <c r="J20" t="s">
        <v>239</v>
      </c>
      <c r="K20" t="s">
        <v>307</v>
      </c>
      <c r="L20" t="s">
        <v>304</v>
      </c>
      <c r="M20" t="s">
        <v>350</v>
      </c>
      <c r="N20">
        <v>0.5</v>
      </c>
      <c r="O20" t="s">
        <v>194</v>
      </c>
      <c r="P20" t="s">
        <v>194</v>
      </c>
      <c r="Q20" t="s">
        <v>1</v>
      </c>
      <c r="R20" t="s">
        <v>194</v>
      </c>
      <c r="S20" t="s">
        <v>194</v>
      </c>
      <c r="T20" t="s">
        <v>422</v>
      </c>
    </row>
    <row r="21" spans="1:20">
      <c r="A21">
        <v>20</v>
      </c>
      <c r="B21" t="s">
        <v>423</v>
      </c>
      <c r="C21" t="s">
        <v>361</v>
      </c>
      <c r="D21" t="s">
        <v>145</v>
      </c>
      <c r="E21" t="s">
        <v>97</v>
      </c>
      <c r="F21" t="s">
        <v>77</v>
      </c>
      <c r="G21" t="s">
        <v>98</v>
      </c>
      <c r="H21" t="s">
        <v>99</v>
      </c>
      <c r="I21" t="s">
        <v>228</v>
      </c>
      <c r="J21" t="s">
        <v>235</v>
      </c>
      <c r="K21" t="s">
        <v>254</v>
      </c>
      <c r="L21" t="s">
        <v>308</v>
      </c>
      <c r="M21" t="s">
        <v>355</v>
      </c>
      <c r="N21">
        <v>0.62</v>
      </c>
      <c r="O21" t="s">
        <v>194</v>
      </c>
      <c r="P21" t="s">
        <v>194</v>
      </c>
      <c r="Q21" t="s">
        <v>1</v>
      </c>
      <c r="R21" t="s">
        <v>194</v>
      </c>
      <c r="S21" t="s">
        <v>194</v>
      </c>
      <c r="T21" t="s">
        <v>424</v>
      </c>
    </row>
    <row r="22" spans="1:20">
      <c r="A22">
        <v>21</v>
      </c>
      <c r="B22" t="s">
        <v>448</v>
      </c>
      <c r="C22" t="s">
        <v>361</v>
      </c>
      <c r="D22" t="s">
        <v>77</v>
      </c>
      <c r="E22" t="s">
        <v>87</v>
      </c>
      <c r="F22" t="s">
        <v>98</v>
      </c>
      <c r="G22" t="s">
        <v>100</v>
      </c>
      <c r="H22" t="s">
        <v>101</v>
      </c>
      <c r="I22" t="s">
        <v>227</v>
      </c>
      <c r="J22" t="s">
        <v>283</v>
      </c>
      <c r="K22" t="s">
        <v>449</v>
      </c>
      <c r="L22" t="s">
        <v>304</v>
      </c>
      <c r="M22" t="s">
        <v>363</v>
      </c>
      <c r="N22">
        <v>0.38</v>
      </c>
      <c r="O22" t="s">
        <v>194</v>
      </c>
      <c r="P22" t="s">
        <v>194</v>
      </c>
      <c r="Q22" t="s">
        <v>1</v>
      </c>
      <c r="R22" t="s">
        <v>194</v>
      </c>
      <c r="S22" t="s">
        <v>194</v>
      </c>
      <c r="T22" t="s">
        <v>450</v>
      </c>
    </row>
    <row r="23" spans="1:20">
      <c r="A23">
        <v>22</v>
      </c>
      <c r="B23" t="s">
        <v>451</v>
      </c>
      <c r="C23" t="s">
        <v>452</v>
      </c>
      <c r="D23" t="s">
        <v>453</v>
      </c>
      <c r="E23" t="s">
        <v>103</v>
      </c>
      <c r="F23" t="s">
        <v>454</v>
      </c>
      <c r="G23" t="s">
        <v>455</v>
      </c>
      <c r="H23" t="s">
        <v>106</v>
      </c>
      <c r="I23" t="s">
        <v>367</v>
      </c>
      <c r="J23" t="s">
        <v>239</v>
      </c>
      <c r="K23" t="s">
        <v>307</v>
      </c>
      <c r="L23" t="s">
        <v>303</v>
      </c>
      <c r="M23" t="s">
        <v>363</v>
      </c>
      <c r="N23">
        <v>0.36</v>
      </c>
      <c r="O23" t="s">
        <v>194</v>
      </c>
      <c r="P23" t="s">
        <v>194</v>
      </c>
      <c r="Q23" t="s">
        <v>194</v>
      </c>
      <c r="R23" t="s">
        <v>194</v>
      </c>
      <c r="S23" t="s">
        <v>1</v>
      </c>
      <c r="T23" t="s">
        <v>456</v>
      </c>
    </row>
    <row r="24" spans="1:20">
      <c r="A24">
        <v>23</v>
      </c>
      <c r="B24" t="s">
        <v>107</v>
      </c>
      <c r="C24" t="s">
        <v>366</v>
      </c>
      <c r="D24" t="s">
        <v>79</v>
      </c>
      <c r="E24" t="s">
        <v>75</v>
      </c>
      <c r="F24" t="s">
        <v>76</v>
      </c>
      <c r="G24" t="s">
        <v>77</v>
      </c>
      <c r="H24" t="s">
        <v>78</v>
      </c>
      <c r="I24" t="s">
        <v>228</v>
      </c>
      <c r="J24" t="s">
        <v>234</v>
      </c>
      <c r="K24" t="s">
        <v>457</v>
      </c>
      <c r="L24" t="s">
        <v>304</v>
      </c>
      <c r="M24" t="s">
        <v>350</v>
      </c>
      <c r="N24">
        <v>0.45</v>
      </c>
      <c r="O24" t="s">
        <v>194</v>
      </c>
      <c r="P24" t="s">
        <v>194</v>
      </c>
      <c r="Q24" t="s">
        <v>194</v>
      </c>
      <c r="R24" t="s">
        <v>1</v>
      </c>
      <c r="S24" t="s">
        <v>194</v>
      </c>
      <c r="T24" t="s">
        <v>458</v>
      </c>
    </row>
    <row r="25" spans="1:20">
      <c r="A25">
        <v>24</v>
      </c>
      <c r="B25" t="s">
        <v>459</v>
      </c>
      <c r="C25" t="s">
        <v>361</v>
      </c>
      <c r="D25" t="s">
        <v>87</v>
      </c>
      <c r="E25" t="s">
        <v>79</v>
      </c>
      <c r="F25" t="s">
        <v>75</v>
      </c>
      <c r="G25" t="s">
        <v>460</v>
      </c>
      <c r="H25" t="s">
        <v>461</v>
      </c>
      <c r="I25" t="s">
        <v>228</v>
      </c>
      <c r="J25" t="s">
        <v>235</v>
      </c>
      <c r="K25" t="s">
        <v>462</v>
      </c>
      <c r="L25" t="s">
        <v>354</v>
      </c>
      <c r="M25" t="s">
        <v>355</v>
      </c>
      <c r="N25">
        <v>0.65</v>
      </c>
      <c r="O25" t="s">
        <v>278</v>
      </c>
      <c r="P25" t="s">
        <v>194</v>
      </c>
      <c r="Q25" t="s">
        <v>1</v>
      </c>
      <c r="R25" t="s">
        <v>194</v>
      </c>
      <c r="S25" t="s">
        <v>194</v>
      </c>
      <c r="T25" t="s">
        <v>463</v>
      </c>
    </row>
    <row r="26" spans="1:20">
      <c r="A26">
        <v>25</v>
      </c>
      <c r="B26" t="s">
        <v>464</v>
      </c>
      <c r="C26" t="s">
        <v>361</v>
      </c>
      <c r="D26" t="s">
        <v>465</v>
      </c>
      <c r="E26" t="s">
        <v>466</v>
      </c>
      <c r="F26" t="s">
        <v>467</v>
      </c>
      <c r="G26" t="s">
        <v>468</v>
      </c>
      <c r="H26" t="s">
        <v>469</v>
      </c>
      <c r="I26" t="s">
        <v>367</v>
      </c>
      <c r="J26" t="s">
        <v>239</v>
      </c>
      <c r="K26" t="s">
        <v>307</v>
      </c>
      <c r="L26" t="s">
        <v>303</v>
      </c>
      <c r="M26" t="s">
        <v>363</v>
      </c>
      <c r="N26">
        <v>0.37</v>
      </c>
      <c r="O26" t="s">
        <v>194</v>
      </c>
      <c r="P26" t="s">
        <v>194</v>
      </c>
      <c r="Q26" t="s">
        <v>1</v>
      </c>
      <c r="R26" t="s">
        <v>194</v>
      </c>
      <c r="S26" t="s">
        <v>194</v>
      </c>
      <c r="T26" t="s">
        <v>470</v>
      </c>
    </row>
    <row r="27" spans="1:20">
      <c r="A27">
        <v>26</v>
      </c>
      <c r="B27" t="s">
        <v>471</v>
      </c>
      <c r="C27" t="s">
        <v>366</v>
      </c>
      <c r="D27" t="s">
        <v>76</v>
      </c>
      <c r="E27" t="s">
        <v>97</v>
      </c>
      <c r="F27" t="s">
        <v>99</v>
      </c>
      <c r="G27" t="s">
        <v>115</v>
      </c>
      <c r="H27" t="s">
        <v>116</v>
      </c>
      <c r="I27" t="s">
        <v>367</v>
      </c>
      <c r="J27" t="s">
        <v>239</v>
      </c>
      <c r="K27" t="s">
        <v>472</v>
      </c>
      <c r="L27" t="s">
        <v>303</v>
      </c>
      <c r="M27" t="s">
        <v>363</v>
      </c>
      <c r="N27">
        <v>0.39</v>
      </c>
      <c r="O27" t="s">
        <v>194</v>
      </c>
      <c r="P27" t="s">
        <v>194</v>
      </c>
      <c r="Q27" t="s">
        <v>194</v>
      </c>
      <c r="R27" t="s">
        <v>1</v>
      </c>
      <c r="S27" t="s">
        <v>194</v>
      </c>
      <c r="T27" t="s">
        <v>473</v>
      </c>
    </row>
    <row r="28" spans="1:20">
      <c r="A28">
        <v>27</v>
      </c>
      <c r="B28" t="s">
        <v>474</v>
      </c>
      <c r="C28" t="s">
        <v>348</v>
      </c>
      <c r="D28" t="s">
        <v>115</v>
      </c>
      <c r="E28" t="s">
        <v>179</v>
      </c>
      <c r="F28" t="s">
        <v>145</v>
      </c>
      <c r="G28" t="s">
        <v>152</v>
      </c>
      <c r="H28" t="s">
        <v>121</v>
      </c>
      <c r="I28" t="s">
        <v>367</v>
      </c>
      <c r="J28" t="s">
        <v>239</v>
      </c>
      <c r="K28" t="s">
        <v>307</v>
      </c>
      <c r="L28" t="s">
        <v>304</v>
      </c>
      <c r="M28" t="s">
        <v>350</v>
      </c>
      <c r="N28">
        <v>0.47</v>
      </c>
      <c r="O28" t="s">
        <v>194</v>
      </c>
      <c r="P28" t="s">
        <v>1</v>
      </c>
      <c r="Q28" t="s">
        <v>194</v>
      </c>
      <c r="R28" t="s">
        <v>194</v>
      </c>
      <c r="S28" t="s">
        <v>194</v>
      </c>
      <c r="T28" t="s">
        <v>475</v>
      </c>
    </row>
    <row r="29" spans="1:20">
      <c r="A29">
        <v>28</v>
      </c>
      <c r="B29" t="s">
        <v>476</v>
      </c>
      <c r="C29" t="s">
        <v>452</v>
      </c>
      <c r="D29" t="s">
        <v>477</v>
      </c>
      <c r="E29" t="s">
        <v>478</v>
      </c>
      <c r="F29" t="s">
        <v>124</v>
      </c>
      <c r="G29" t="s">
        <v>125</v>
      </c>
      <c r="H29" t="s">
        <v>126</v>
      </c>
      <c r="I29" t="s">
        <v>367</v>
      </c>
      <c r="J29" t="s">
        <v>239</v>
      </c>
      <c r="K29" t="s">
        <v>307</v>
      </c>
      <c r="L29" t="s">
        <v>303</v>
      </c>
      <c r="M29" t="s">
        <v>363</v>
      </c>
      <c r="N29">
        <v>0.36</v>
      </c>
      <c r="O29" t="s">
        <v>194</v>
      </c>
      <c r="P29" t="s">
        <v>194</v>
      </c>
      <c r="Q29" t="s">
        <v>194</v>
      </c>
      <c r="R29" t="s">
        <v>194</v>
      </c>
      <c r="S29" t="s">
        <v>1</v>
      </c>
      <c r="T29" t="s">
        <v>479</v>
      </c>
    </row>
    <row r="30" spans="1:20">
      <c r="A30">
        <v>29</v>
      </c>
      <c r="B30" t="s">
        <v>480</v>
      </c>
      <c r="C30" t="s">
        <v>348</v>
      </c>
      <c r="D30" t="s">
        <v>358</v>
      </c>
      <c r="E30" t="s">
        <v>419</v>
      </c>
      <c r="F30" t="s">
        <v>76</v>
      </c>
      <c r="G30" t="s">
        <v>481</v>
      </c>
      <c r="H30" t="s">
        <v>78</v>
      </c>
      <c r="I30" t="s">
        <v>367</v>
      </c>
      <c r="J30" t="s">
        <v>239</v>
      </c>
      <c r="K30" t="s">
        <v>374</v>
      </c>
      <c r="L30" t="s">
        <v>304</v>
      </c>
      <c r="M30" t="s">
        <v>350</v>
      </c>
      <c r="N30">
        <v>0.48</v>
      </c>
      <c r="O30" t="s">
        <v>194</v>
      </c>
      <c r="P30" t="s">
        <v>1</v>
      </c>
      <c r="Q30" t="s">
        <v>194</v>
      </c>
      <c r="R30" t="s">
        <v>194</v>
      </c>
      <c r="S30" t="s">
        <v>300</v>
      </c>
      <c r="T30" t="s">
        <v>482</v>
      </c>
    </row>
    <row r="31" spans="1:20">
      <c r="A31">
        <v>30</v>
      </c>
      <c r="B31" t="s">
        <v>127</v>
      </c>
      <c r="C31" t="s">
        <v>361</v>
      </c>
      <c r="D31" t="s">
        <v>128</v>
      </c>
      <c r="E31" t="s">
        <v>483</v>
      </c>
      <c r="F31" t="s">
        <v>468</v>
      </c>
      <c r="G31" t="s">
        <v>115</v>
      </c>
      <c r="H31" t="s">
        <v>465</v>
      </c>
      <c r="I31" t="s">
        <v>367</v>
      </c>
      <c r="J31" t="s">
        <v>239</v>
      </c>
      <c r="K31" t="s">
        <v>307</v>
      </c>
      <c r="L31" t="s">
        <v>304</v>
      </c>
      <c r="M31" t="s">
        <v>350</v>
      </c>
      <c r="N31">
        <v>0.49</v>
      </c>
      <c r="O31" t="s">
        <v>194</v>
      </c>
      <c r="P31" t="s">
        <v>194</v>
      </c>
      <c r="Q31" t="s">
        <v>1</v>
      </c>
      <c r="R31" t="s">
        <v>194</v>
      </c>
      <c r="S31" t="s">
        <v>194</v>
      </c>
      <c r="T31" t="s">
        <v>484</v>
      </c>
    </row>
    <row r="32" spans="1:20">
      <c r="A32">
        <v>31</v>
      </c>
      <c r="B32" t="s">
        <v>129</v>
      </c>
      <c r="C32" t="s">
        <v>348</v>
      </c>
      <c r="D32" t="s">
        <v>388</v>
      </c>
      <c r="E32" t="s">
        <v>485</v>
      </c>
      <c r="F32" t="s">
        <v>486</v>
      </c>
      <c r="G32" t="s">
        <v>390</v>
      </c>
      <c r="H32" t="s">
        <v>387</v>
      </c>
      <c r="I32" t="s">
        <v>367</v>
      </c>
      <c r="J32" t="s">
        <v>239</v>
      </c>
      <c r="K32" t="s">
        <v>307</v>
      </c>
      <c r="L32" t="s">
        <v>304</v>
      </c>
      <c r="M32" t="s">
        <v>355</v>
      </c>
      <c r="N32">
        <v>0.57999999999999996</v>
      </c>
      <c r="O32" t="s">
        <v>194</v>
      </c>
      <c r="P32" t="s">
        <v>1</v>
      </c>
      <c r="Q32" t="s">
        <v>194</v>
      </c>
      <c r="R32" t="s">
        <v>194</v>
      </c>
      <c r="S32" t="s">
        <v>194</v>
      </c>
      <c r="T32" t="s">
        <v>487</v>
      </c>
    </row>
    <row r="33" spans="1:20">
      <c r="A33">
        <v>32</v>
      </c>
      <c r="B33" t="s">
        <v>488</v>
      </c>
      <c r="C33" t="s">
        <v>361</v>
      </c>
      <c r="D33" t="s">
        <v>116</v>
      </c>
      <c r="E33" t="s">
        <v>121</v>
      </c>
      <c r="F33" t="s">
        <v>489</v>
      </c>
      <c r="G33" t="s">
        <v>131</v>
      </c>
      <c r="H33" t="s">
        <v>115</v>
      </c>
      <c r="I33" t="s">
        <v>367</v>
      </c>
      <c r="J33" t="s">
        <v>239</v>
      </c>
      <c r="K33" t="s">
        <v>398</v>
      </c>
      <c r="L33" t="s">
        <v>303</v>
      </c>
      <c r="M33" t="s">
        <v>363</v>
      </c>
      <c r="N33">
        <v>0.37</v>
      </c>
      <c r="O33" t="s">
        <v>194</v>
      </c>
      <c r="P33" t="s">
        <v>194</v>
      </c>
      <c r="Q33" t="s">
        <v>1</v>
      </c>
      <c r="R33" t="s">
        <v>194</v>
      </c>
      <c r="S33" t="s">
        <v>194</v>
      </c>
      <c r="T33" t="s">
        <v>490</v>
      </c>
    </row>
    <row r="34" spans="1:20">
      <c r="A34">
        <v>33</v>
      </c>
      <c r="B34" t="s">
        <v>491</v>
      </c>
      <c r="C34" t="s">
        <v>353</v>
      </c>
      <c r="D34" t="s">
        <v>87</v>
      </c>
      <c r="E34" t="s">
        <v>132</v>
      </c>
      <c r="F34" t="s">
        <v>79</v>
      </c>
      <c r="G34" t="s">
        <v>75</v>
      </c>
      <c r="H34" t="s">
        <v>77</v>
      </c>
      <c r="I34" t="s">
        <v>226</v>
      </c>
      <c r="J34" t="s">
        <v>230</v>
      </c>
      <c r="K34" t="s">
        <v>241</v>
      </c>
      <c r="L34" t="s">
        <v>303</v>
      </c>
      <c r="M34" t="s">
        <v>363</v>
      </c>
      <c r="N34">
        <v>0.38</v>
      </c>
      <c r="O34" t="s">
        <v>1</v>
      </c>
      <c r="P34" t="s">
        <v>294</v>
      </c>
      <c r="Q34" t="s">
        <v>194</v>
      </c>
      <c r="R34" t="s">
        <v>278</v>
      </c>
      <c r="S34" t="s">
        <v>194</v>
      </c>
      <c r="T34" t="s">
        <v>492</v>
      </c>
    </row>
    <row r="35" spans="1:20">
      <c r="A35">
        <v>34</v>
      </c>
      <c r="B35" t="s">
        <v>493</v>
      </c>
      <c r="C35" t="s">
        <v>348</v>
      </c>
      <c r="D35" t="s">
        <v>79</v>
      </c>
      <c r="E35" t="s">
        <v>75</v>
      </c>
      <c r="F35" t="s">
        <v>76</v>
      </c>
      <c r="G35" t="s">
        <v>77</v>
      </c>
      <c r="H35" t="s">
        <v>78</v>
      </c>
      <c r="I35" t="s">
        <v>226</v>
      </c>
      <c r="J35" t="s">
        <v>232</v>
      </c>
      <c r="K35" t="s">
        <v>285</v>
      </c>
      <c r="L35" t="s">
        <v>304</v>
      </c>
      <c r="M35" t="s">
        <v>350</v>
      </c>
      <c r="N35">
        <v>0.44</v>
      </c>
      <c r="O35" t="s">
        <v>194</v>
      </c>
      <c r="P35" t="s">
        <v>1</v>
      </c>
      <c r="Q35" t="s">
        <v>194</v>
      </c>
      <c r="R35" t="s">
        <v>194</v>
      </c>
      <c r="S35" t="s">
        <v>194</v>
      </c>
      <c r="T35" t="s">
        <v>494</v>
      </c>
    </row>
    <row r="36" spans="1:20">
      <c r="A36">
        <v>35</v>
      </c>
      <c r="B36" t="s">
        <v>495</v>
      </c>
      <c r="C36" t="s">
        <v>366</v>
      </c>
      <c r="D36" t="s">
        <v>97</v>
      </c>
      <c r="E36" t="s">
        <v>84</v>
      </c>
      <c r="F36" t="s">
        <v>128</v>
      </c>
      <c r="G36" t="s">
        <v>135</v>
      </c>
      <c r="H36" t="s">
        <v>115</v>
      </c>
      <c r="I36" t="s">
        <v>226</v>
      </c>
      <c r="J36" t="s">
        <v>230</v>
      </c>
      <c r="K36" t="s">
        <v>496</v>
      </c>
      <c r="L36" t="s">
        <v>303</v>
      </c>
      <c r="M36" t="s">
        <v>363</v>
      </c>
      <c r="N36">
        <v>0.36</v>
      </c>
      <c r="O36" t="s">
        <v>194</v>
      </c>
      <c r="P36" t="s">
        <v>194</v>
      </c>
      <c r="Q36" t="s">
        <v>194</v>
      </c>
      <c r="R36" t="s">
        <v>1</v>
      </c>
      <c r="S36" t="s">
        <v>194</v>
      </c>
      <c r="T36" t="s">
        <v>497</v>
      </c>
    </row>
    <row r="37" spans="1:20">
      <c r="A37">
        <v>36</v>
      </c>
      <c r="B37" t="s">
        <v>498</v>
      </c>
      <c r="C37" t="s">
        <v>361</v>
      </c>
      <c r="D37" t="s">
        <v>499</v>
      </c>
      <c r="E37" t="s">
        <v>87</v>
      </c>
      <c r="F37" t="s">
        <v>500</v>
      </c>
      <c r="G37" t="s">
        <v>501</v>
      </c>
      <c r="H37" t="s">
        <v>79</v>
      </c>
      <c r="I37" t="s">
        <v>226</v>
      </c>
      <c r="J37" t="s">
        <v>230</v>
      </c>
      <c r="K37" t="s">
        <v>502</v>
      </c>
      <c r="L37" t="s">
        <v>304</v>
      </c>
      <c r="M37" t="s">
        <v>350</v>
      </c>
      <c r="N37">
        <v>0.45</v>
      </c>
      <c r="O37" t="s">
        <v>194</v>
      </c>
      <c r="P37" t="s">
        <v>194</v>
      </c>
      <c r="Q37" t="s">
        <v>1</v>
      </c>
      <c r="R37" t="s">
        <v>194</v>
      </c>
      <c r="S37" t="s">
        <v>194</v>
      </c>
      <c r="T37" t="s">
        <v>503</v>
      </c>
    </row>
    <row r="38" spans="1:20">
      <c r="A38">
        <v>37</v>
      </c>
      <c r="B38" t="s">
        <v>504</v>
      </c>
      <c r="C38" t="s">
        <v>348</v>
      </c>
      <c r="D38" t="s">
        <v>77</v>
      </c>
      <c r="E38" t="s">
        <v>128</v>
      </c>
      <c r="F38" t="s">
        <v>115</v>
      </c>
      <c r="G38" t="s">
        <v>145</v>
      </c>
      <c r="H38" t="s">
        <v>146</v>
      </c>
      <c r="I38" t="s">
        <v>226</v>
      </c>
      <c r="J38" t="s">
        <v>232</v>
      </c>
      <c r="K38" t="s">
        <v>505</v>
      </c>
      <c r="L38" t="s">
        <v>303</v>
      </c>
      <c r="M38" t="s">
        <v>363</v>
      </c>
      <c r="N38">
        <v>0.38</v>
      </c>
      <c r="O38" t="s">
        <v>194</v>
      </c>
      <c r="P38" t="s">
        <v>1</v>
      </c>
      <c r="Q38" t="s">
        <v>194</v>
      </c>
      <c r="R38" t="s">
        <v>194</v>
      </c>
      <c r="S38" t="s">
        <v>194</v>
      </c>
      <c r="T38" t="s">
        <v>506</v>
      </c>
    </row>
    <row r="39" spans="1:20">
      <c r="A39">
        <v>38</v>
      </c>
      <c r="B39" t="s">
        <v>507</v>
      </c>
      <c r="C39" t="s">
        <v>348</v>
      </c>
      <c r="D39" t="s">
        <v>87</v>
      </c>
      <c r="E39" t="s">
        <v>132</v>
      </c>
      <c r="F39" t="s">
        <v>79</v>
      </c>
      <c r="G39" t="s">
        <v>75</v>
      </c>
      <c r="H39" t="s">
        <v>42</v>
      </c>
      <c r="I39" t="s">
        <v>226</v>
      </c>
      <c r="J39" t="s">
        <v>230</v>
      </c>
      <c r="K39" t="s">
        <v>508</v>
      </c>
      <c r="L39" t="s">
        <v>304</v>
      </c>
      <c r="M39" t="s">
        <v>350</v>
      </c>
      <c r="N39">
        <v>0.5</v>
      </c>
      <c r="O39" t="s">
        <v>194</v>
      </c>
      <c r="P39" t="s">
        <v>1</v>
      </c>
      <c r="Q39" t="s">
        <v>194</v>
      </c>
      <c r="R39" t="s">
        <v>194</v>
      </c>
      <c r="S39" t="s">
        <v>294</v>
      </c>
      <c r="T39" t="s">
        <v>509</v>
      </c>
    </row>
    <row r="40" spans="1:20">
      <c r="A40">
        <v>39</v>
      </c>
      <c r="B40" t="s">
        <v>510</v>
      </c>
      <c r="C40" t="s">
        <v>361</v>
      </c>
      <c r="D40" t="s">
        <v>79</v>
      </c>
      <c r="E40" t="s">
        <v>87</v>
      </c>
      <c r="F40" t="s">
        <v>139</v>
      </c>
      <c r="G40" t="s">
        <v>511</v>
      </c>
      <c r="H40" t="s">
        <v>141</v>
      </c>
      <c r="I40" t="s">
        <v>226</v>
      </c>
      <c r="J40" t="s">
        <v>230</v>
      </c>
      <c r="K40" t="s">
        <v>305</v>
      </c>
      <c r="L40" t="s">
        <v>308</v>
      </c>
      <c r="M40" t="s">
        <v>355</v>
      </c>
      <c r="N40">
        <v>0.6</v>
      </c>
      <c r="O40" t="s">
        <v>194</v>
      </c>
      <c r="P40" t="s">
        <v>278</v>
      </c>
      <c r="Q40" t="s">
        <v>1</v>
      </c>
      <c r="R40" t="s">
        <v>194</v>
      </c>
      <c r="S40" t="s">
        <v>278</v>
      </c>
      <c r="T40" t="s">
        <v>512</v>
      </c>
    </row>
    <row r="41" spans="1:20">
      <c r="A41">
        <v>40</v>
      </c>
      <c r="B41" t="s">
        <v>513</v>
      </c>
      <c r="C41" t="s">
        <v>366</v>
      </c>
      <c r="D41" t="s">
        <v>87</v>
      </c>
      <c r="E41" t="s">
        <v>77</v>
      </c>
      <c r="F41" t="s">
        <v>128</v>
      </c>
      <c r="G41" t="s">
        <v>115</v>
      </c>
      <c r="H41" t="s">
        <v>42</v>
      </c>
      <c r="I41" t="s">
        <v>226</v>
      </c>
      <c r="J41" t="s">
        <v>230</v>
      </c>
      <c r="K41" t="s">
        <v>241</v>
      </c>
      <c r="L41" t="s">
        <v>308</v>
      </c>
      <c r="M41" t="s">
        <v>355</v>
      </c>
      <c r="N41">
        <v>0.62</v>
      </c>
      <c r="O41" t="s">
        <v>278</v>
      </c>
      <c r="P41" t="s">
        <v>194</v>
      </c>
      <c r="Q41" t="s">
        <v>194</v>
      </c>
      <c r="R41" t="s">
        <v>1</v>
      </c>
      <c r="S41" t="s">
        <v>294</v>
      </c>
      <c r="T41" t="s">
        <v>514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ABF6-17D7-457F-8305-77AF789C31D2}">
  <dimension ref="A1:A83"/>
  <sheetViews>
    <sheetView workbookViewId="0">
      <selection activeCell="G8" sqref="G8"/>
    </sheetView>
  </sheetViews>
  <sheetFormatPr defaultRowHeight="12.75"/>
  <cols>
    <col min="1" max="1" width="26.140625" bestFit="1" customWidth="1"/>
  </cols>
  <sheetData>
    <row r="1" spans="1:1" ht="25.5">
      <c r="A1" s="19" t="s">
        <v>222</v>
      </c>
    </row>
    <row r="2" spans="1:1">
      <c r="A2" s="20" t="s">
        <v>226</v>
      </c>
    </row>
    <row r="3" spans="1:1">
      <c r="A3" s="20" t="s">
        <v>227</v>
      </c>
    </row>
    <row r="4" spans="1:1">
      <c r="A4" s="20" t="s">
        <v>228</v>
      </c>
    </row>
    <row r="5" spans="1:1">
      <c r="A5" s="20" t="s">
        <v>229</v>
      </c>
    </row>
    <row r="6" spans="1:1" ht="25.5">
      <c r="A6" s="19" t="s">
        <v>223</v>
      </c>
    </row>
    <row r="7" spans="1:1">
      <c r="A7" s="20" t="s">
        <v>230</v>
      </c>
    </row>
    <row r="8" spans="1:1">
      <c r="A8" s="20" t="s">
        <v>231</v>
      </c>
    </row>
    <row r="9" spans="1:1">
      <c r="A9" s="20" t="s">
        <v>232</v>
      </c>
    </row>
    <row r="10" spans="1:1">
      <c r="A10" s="20" t="s">
        <v>280</v>
      </c>
    </row>
    <row r="11" spans="1:1">
      <c r="A11" s="20" t="s">
        <v>281</v>
      </c>
    </row>
    <row r="12" spans="1:1">
      <c r="A12" s="20" t="s">
        <v>282</v>
      </c>
    </row>
    <row r="13" spans="1:1">
      <c r="A13" s="20" t="s">
        <v>233</v>
      </c>
    </row>
    <row r="14" spans="1:1">
      <c r="A14" s="20" t="s">
        <v>283</v>
      </c>
    </row>
    <row r="15" spans="1:1">
      <c r="A15" s="20" t="s">
        <v>284</v>
      </c>
    </row>
    <row r="16" spans="1:1">
      <c r="A16" s="20" t="s">
        <v>234</v>
      </c>
    </row>
    <row r="17" spans="1:1">
      <c r="A17" s="20" t="s">
        <v>235</v>
      </c>
    </row>
    <row r="18" spans="1:1">
      <c r="A18" s="20" t="s">
        <v>236</v>
      </c>
    </row>
    <row r="19" spans="1:1">
      <c r="A19" s="20" t="s">
        <v>237</v>
      </c>
    </row>
    <row r="20" spans="1:1">
      <c r="A20" s="20" t="s">
        <v>238</v>
      </c>
    </row>
    <row r="21" spans="1:1">
      <c r="A21" s="20" t="s">
        <v>239</v>
      </c>
    </row>
    <row r="22" spans="1:1">
      <c r="A22" s="20" t="s">
        <v>262</v>
      </c>
    </row>
    <row r="23" spans="1:1">
      <c r="A23" s="20" t="s">
        <v>263</v>
      </c>
    </row>
    <row r="24" spans="1:1">
      <c r="A24" s="20" t="s">
        <v>279</v>
      </c>
    </row>
    <row r="25" spans="1:1">
      <c r="A25" s="20" t="s">
        <v>264</v>
      </c>
    </row>
    <row r="26" spans="1:1" ht="25.5">
      <c r="A26" s="19" t="s">
        <v>224</v>
      </c>
    </row>
    <row r="27" spans="1:1">
      <c r="A27" s="20" t="s">
        <v>240</v>
      </c>
    </row>
    <row r="28" spans="1:1">
      <c r="A28" s="20" t="s">
        <v>241</v>
      </c>
    </row>
    <row r="29" spans="1:1">
      <c r="A29" s="20" t="s">
        <v>287</v>
      </c>
    </row>
    <row r="30" spans="1:1">
      <c r="A30" s="20" t="s">
        <v>242</v>
      </c>
    </row>
    <row r="31" spans="1:1">
      <c r="A31" s="20" t="s">
        <v>243</v>
      </c>
    </row>
    <row r="32" spans="1:1">
      <c r="A32" s="20" t="s">
        <v>244</v>
      </c>
    </row>
    <row r="33" spans="1:1">
      <c r="A33" s="20" t="s">
        <v>245</v>
      </c>
    </row>
    <row r="34" spans="1:1">
      <c r="A34" s="20" t="s">
        <v>246</v>
      </c>
    </row>
    <row r="35" spans="1:1">
      <c r="A35" s="20" t="s">
        <v>247</v>
      </c>
    </row>
    <row r="36" spans="1:1">
      <c r="A36" s="20" t="s">
        <v>248</v>
      </c>
    </row>
    <row r="37" spans="1:1">
      <c r="A37" s="20" t="s">
        <v>288</v>
      </c>
    </row>
    <row r="38" spans="1:1">
      <c r="A38" s="20" t="s">
        <v>289</v>
      </c>
    </row>
    <row r="39" spans="1:1">
      <c r="A39" s="20" t="s">
        <v>290</v>
      </c>
    </row>
    <row r="40" spans="1:1">
      <c r="A40" s="20" t="s">
        <v>291</v>
      </c>
    </row>
    <row r="41" spans="1:1">
      <c r="A41" s="20" t="s">
        <v>249</v>
      </c>
    </row>
    <row r="42" spans="1:1">
      <c r="A42" s="20" t="s">
        <v>250</v>
      </c>
    </row>
    <row r="43" spans="1:1">
      <c r="A43" s="20" t="s">
        <v>251</v>
      </c>
    </row>
    <row r="44" spans="1:1">
      <c r="A44" s="20" t="s">
        <v>252</v>
      </c>
    </row>
    <row r="45" spans="1:1">
      <c r="A45" s="20" t="s">
        <v>253</v>
      </c>
    </row>
    <row r="46" spans="1:1">
      <c r="A46" s="20" t="s">
        <v>254</v>
      </c>
    </row>
    <row r="47" spans="1:1">
      <c r="A47" s="20" t="s">
        <v>292</v>
      </c>
    </row>
    <row r="48" spans="1:1">
      <c r="A48" s="20" t="s">
        <v>265</v>
      </c>
    </row>
    <row r="49" spans="1:1">
      <c r="A49" s="20" t="s">
        <v>266</v>
      </c>
    </row>
    <row r="50" spans="1:1">
      <c r="A50" s="20" t="s">
        <v>267</v>
      </c>
    </row>
    <row r="51" spans="1:1">
      <c r="A51" s="20" t="s">
        <v>285</v>
      </c>
    </row>
    <row r="52" spans="1:1">
      <c r="A52" s="20" t="s">
        <v>286</v>
      </c>
    </row>
    <row r="53" spans="1:1">
      <c r="A53" s="20" t="s">
        <v>268</v>
      </c>
    </row>
    <row r="54" spans="1:1">
      <c r="A54" s="20" t="s">
        <v>269</v>
      </c>
    </row>
    <row r="55" spans="1:1">
      <c r="A55" s="20" t="s">
        <v>270</v>
      </c>
    </row>
    <row r="56" spans="1:1">
      <c r="A56" s="20" t="s">
        <v>275</v>
      </c>
    </row>
    <row r="57" spans="1:1">
      <c r="A57" s="20" t="s">
        <v>276</v>
      </c>
    </row>
    <row r="58" spans="1:1" ht="25.5">
      <c r="A58" s="19" t="s">
        <v>225</v>
      </c>
    </row>
    <row r="59" spans="1:1">
      <c r="A59" s="20" t="s">
        <v>138</v>
      </c>
    </row>
    <row r="60" spans="1:1">
      <c r="A60" s="20" t="s">
        <v>194</v>
      </c>
    </row>
    <row r="61" spans="1:1">
      <c r="A61" s="20" t="s">
        <v>293</v>
      </c>
    </row>
    <row r="62" spans="1:1">
      <c r="A62" s="20" t="s">
        <v>255</v>
      </c>
    </row>
    <row r="63" spans="1:1">
      <c r="A63" s="20" t="s">
        <v>256</v>
      </c>
    </row>
    <row r="64" spans="1:1">
      <c r="A64" s="20" t="s">
        <v>257</v>
      </c>
    </row>
    <row r="65" spans="1:1">
      <c r="A65" s="20" t="s">
        <v>258</v>
      </c>
    </row>
    <row r="66" spans="1:1">
      <c r="A66" s="20" t="s">
        <v>259</v>
      </c>
    </row>
    <row r="67" spans="1:1">
      <c r="A67" s="20" t="s">
        <v>260</v>
      </c>
    </row>
    <row r="68" spans="1:1">
      <c r="A68" s="20" t="s">
        <v>261</v>
      </c>
    </row>
    <row r="69" spans="1:1">
      <c r="A69" s="20" t="s">
        <v>271</v>
      </c>
    </row>
    <row r="70" spans="1:1">
      <c r="A70" s="20" t="s">
        <v>272</v>
      </c>
    </row>
    <row r="71" spans="1:1">
      <c r="A71" s="20" t="s">
        <v>273</v>
      </c>
    </row>
    <row r="72" spans="1:1">
      <c r="A72" s="20" t="s">
        <v>274</v>
      </c>
    </row>
    <row r="73" spans="1:1">
      <c r="A73" s="20" t="s">
        <v>277</v>
      </c>
    </row>
    <row r="74" spans="1:1">
      <c r="A74" s="20" t="s">
        <v>278</v>
      </c>
    </row>
    <row r="75" spans="1:1">
      <c r="A75" s="20" t="s">
        <v>294</v>
      </c>
    </row>
    <row r="76" spans="1:1">
      <c r="A76" s="20" t="s">
        <v>295</v>
      </c>
    </row>
    <row r="77" spans="1:1">
      <c r="A77" s="20" t="s">
        <v>296</v>
      </c>
    </row>
    <row r="78" spans="1:1">
      <c r="A78" s="20" t="s">
        <v>297</v>
      </c>
    </row>
    <row r="79" spans="1:1">
      <c r="A79" s="20" t="s">
        <v>298</v>
      </c>
    </row>
    <row r="80" spans="1:1">
      <c r="A80" s="20" t="s">
        <v>299</v>
      </c>
    </row>
    <row r="81" spans="1:1">
      <c r="A81" s="20" t="s">
        <v>301</v>
      </c>
    </row>
    <row r="82" spans="1:1">
      <c r="A82" s="20" t="s">
        <v>300</v>
      </c>
    </row>
    <row r="83" spans="1:1">
      <c r="A83" s="20" t="s">
        <v>302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D6A6-C2D9-4142-8A18-4A685F878828}">
  <dimension ref="A1:E61"/>
  <sheetViews>
    <sheetView workbookViewId="0">
      <selection activeCell="E39" sqref="E39"/>
    </sheetView>
  </sheetViews>
  <sheetFormatPr defaultRowHeight="12.75"/>
  <cols>
    <col min="2" max="2" width="12.140625" bestFit="1" customWidth="1"/>
  </cols>
  <sheetData>
    <row r="1" spans="1: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>
      <c r="A2">
        <v>1</v>
      </c>
      <c r="B2" t="s">
        <v>43</v>
      </c>
      <c r="C2">
        <v>6</v>
      </c>
      <c r="D2" t="s">
        <v>17</v>
      </c>
      <c r="E2">
        <v>2</v>
      </c>
    </row>
    <row r="3" spans="1:5">
      <c r="A3">
        <v>1</v>
      </c>
      <c r="B3" t="s">
        <v>43</v>
      </c>
      <c r="C3">
        <v>7</v>
      </c>
      <c r="D3" t="s">
        <v>44</v>
      </c>
      <c r="E3">
        <v>31</v>
      </c>
    </row>
    <row r="4" spans="1:5">
      <c r="A4">
        <v>1</v>
      </c>
      <c r="B4" t="s">
        <v>43</v>
      </c>
      <c r="C4">
        <v>3</v>
      </c>
      <c r="D4" t="s">
        <v>17</v>
      </c>
      <c r="E4">
        <v>398</v>
      </c>
    </row>
    <row r="5" spans="1:5">
      <c r="A5">
        <v>1</v>
      </c>
      <c r="B5" t="s">
        <v>43</v>
      </c>
      <c r="C5">
        <v>8</v>
      </c>
      <c r="D5" t="s">
        <v>20</v>
      </c>
      <c r="E5">
        <v>180</v>
      </c>
    </row>
    <row r="6" spans="1:5">
      <c r="A6">
        <v>1</v>
      </c>
      <c r="B6" t="s">
        <v>43</v>
      </c>
      <c r="C6">
        <v>4</v>
      </c>
      <c r="D6" t="s">
        <v>20</v>
      </c>
      <c r="E6">
        <v>2</v>
      </c>
    </row>
    <row r="7" spans="1:5">
      <c r="A7">
        <v>2</v>
      </c>
      <c r="B7" t="s">
        <v>45</v>
      </c>
      <c r="C7">
        <v>6</v>
      </c>
      <c r="D7" t="s">
        <v>17</v>
      </c>
      <c r="E7">
        <v>5</v>
      </c>
    </row>
    <row r="8" spans="1:5">
      <c r="A8">
        <v>2</v>
      </c>
      <c r="B8" t="s">
        <v>45</v>
      </c>
      <c r="C8">
        <v>7</v>
      </c>
      <c r="D8" t="s">
        <v>31</v>
      </c>
      <c r="E8">
        <v>30</v>
      </c>
    </row>
    <row r="9" spans="1:5">
      <c r="A9">
        <v>2</v>
      </c>
      <c r="B9" t="s">
        <v>45</v>
      </c>
      <c r="C9">
        <v>3</v>
      </c>
      <c r="D9" t="s">
        <v>17</v>
      </c>
      <c r="E9">
        <v>600</v>
      </c>
    </row>
    <row r="10" spans="1:5">
      <c r="A10">
        <v>2</v>
      </c>
      <c r="B10" t="s">
        <v>45</v>
      </c>
      <c r="C10">
        <v>8</v>
      </c>
      <c r="D10" t="s">
        <v>31</v>
      </c>
      <c r="E10">
        <v>330</v>
      </c>
    </row>
    <row r="11" spans="1:5">
      <c r="A11">
        <v>2</v>
      </c>
      <c r="B11" t="s">
        <v>45</v>
      </c>
      <c r="C11">
        <v>4</v>
      </c>
      <c r="D11" t="s">
        <v>20</v>
      </c>
      <c r="E11">
        <v>5</v>
      </c>
    </row>
    <row r="12" spans="1:5">
      <c r="A12">
        <v>3</v>
      </c>
      <c r="B12" t="s">
        <v>46</v>
      </c>
      <c r="C12">
        <v>6</v>
      </c>
      <c r="D12" t="s">
        <v>17</v>
      </c>
      <c r="E12">
        <v>5</v>
      </c>
    </row>
    <row r="13" spans="1:5">
      <c r="A13">
        <v>3</v>
      </c>
      <c r="B13" t="s">
        <v>46</v>
      </c>
      <c r="C13">
        <v>7</v>
      </c>
      <c r="D13" t="s">
        <v>20</v>
      </c>
      <c r="E13">
        <v>30</v>
      </c>
    </row>
    <row r="14" spans="1:5">
      <c r="A14">
        <v>3</v>
      </c>
      <c r="B14" t="s">
        <v>46</v>
      </c>
      <c r="C14">
        <v>3</v>
      </c>
      <c r="D14" t="s">
        <v>31</v>
      </c>
      <c r="E14">
        <v>180</v>
      </c>
    </row>
    <row r="15" spans="1:5">
      <c r="A15">
        <v>3</v>
      </c>
      <c r="B15" t="s">
        <v>46</v>
      </c>
      <c r="C15">
        <v>8</v>
      </c>
      <c r="D15" t="s">
        <v>31</v>
      </c>
      <c r="E15">
        <v>900</v>
      </c>
    </row>
    <row r="16" spans="1:5">
      <c r="A16">
        <v>3</v>
      </c>
      <c r="B16" t="s">
        <v>46</v>
      </c>
      <c r="C16">
        <v>4</v>
      </c>
      <c r="D16" t="s">
        <v>20</v>
      </c>
      <c r="E16">
        <v>64</v>
      </c>
    </row>
    <row r="17" spans="1:5">
      <c r="A17">
        <v>4</v>
      </c>
      <c r="B17" t="s">
        <v>47</v>
      </c>
      <c r="C17">
        <v>6</v>
      </c>
      <c r="D17" t="s">
        <v>44</v>
      </c>
      <c r="E17">
        <v>3</v>
      </c>
    </row>
    <row r="18" spans="1:5">
      <c r="A18">
        <v>4</v>
      </c>
      <c r="B18" t="s">
        <v>47</v>
      </c>
      <c r="C18">
        <v>7</v>
      </c>
      <c r="D18" t="s">
        <v>31</v>
      </c>
      <c r="E18">
        <v>120</v>
      </c>
    </row>
    <row r="19" spans="1:5">
      <c r="A19">
        <v>4</v>
      </c>
      <c r="B19" t="s">
        <v>47</v>
      </c>
      <c r="C19">
        <v>3</v>
      </c>
      <c r="D19" t="s">
        <v>17</v>
      </c>
      <c r="E19">
        <v>300</v>
      </c>
    </row>
    <row r="20" spans="1:5">
      <c r="A20">
        <v>4</v>
      </c>
      <c r="B20" t="s">
        <v>47</v>
      </c>
      <c r="C20">
        <v>8</v>
      </c>
      <c r="D20" t="s">
        <v>44</v>
      </c>
      <c r="E20">
        <v>120</v>
      </c>
    </row>
    <row r="21" spans="1:5">
      <c r="A21">
        <v>4</v>
      </c>
      <c r="B21" t="s">
        <v>47</v>
      </c>
      <c r="C21">
        <v>4</v>
      </c>
      <c r="D21" t="s">
        <v>20</v>
      </c>
      <c r="E21">
        <v>60</v>
      </c>
    </row>
    <row r="22" spans="1:5">
      <c r="A22">
        <v>5</v>
      </c>
      <c r="B22" t="s">
        <v>48</v>
      </c>
      <c r="C22">
        <v>6</v>
      </c>
      <c r="D22" t="s">
        <v>17</v>
      </c>
      <c r="E22">
        <v>505</v>
      </c>
    </row>
    <row r="23" spans="1:5">
      <c r="A23">
        <v>5</v>
      </c>
      <c r="B23" t="s">
        <v>48</v>
      </c>
      <c r="C23">
        <v>7</v>
      </c>
      <c r="D23" t="s">
        <v>31</v>
      </c>
      <c r="E23">
        <v>397</v>
      </c>
    </row>
    <row r="24" spans="1:5">
      <c r="A24">
        <v>5</v>
      </c>
      <c r="B24" t="s">
        <v>48</v>
      </c>
      <c r="C24">
        <v>3</v>
      </c>
      <c r="D24" t="s">
        <v>49</v>
      </c>
      <c r="E24">
        <v>555</v>
      </c>
    </row>
    <row r="25" spans="1:5">
      <c r="A25">
        <v>5</v>
      </c>
      <c r="B25" t="s">
        <v>48</v>
      </c>
      <c r="C25">
        <v>8</v>
      </c>
      <c r="D25" t="s">
        <v>31</v>
      </c>
      <c r="E25">
        <v>397</v>
      </c>
    </row>
    <row r="26" spans="1:5">
      <c r="A26">
        <v>5</v>
      </c>
      <c r="B26" t="s">
        <v>48</v>
      </c>
      <c r="C26">
        <v>4</v>
      </c>
      <c r="D26" t="s">
        <v>20</v>
      </c>
      <c r="E26">
        <v>370</v>
      </c>
    </row>
    <row r="27" spans="1:5">
      <c r="A27">
        <v>6</v>
      </c>
      <c r="B27" t="s">
        <v>50</v>
      </c>
      <c r="C27">
        <v>6</v>
      </c>
      <c r="D27" t="s">
        <v>17</v>
      </c>
      <c r="E27">
        <v>60</v>
      </c>
    </row>
    <row r="28" spans="1:5">
      <c r="A28">
        <v>6</v>
      </c>
      <c r="B28" t="s">
        <v>50</v>
      </c>
      <c r="C28">
        <v>7</v>
      </c>
      <c r="D28" t="s">
        <v>31</v>
      </c>
      <c r="E28">
        <v>199</v>
      </c>
    </row>
    <row r="29" spans="1:5">
      <c r="A29">
        <v>6</v>
      </c>
      <c r="B29" t="s">
        <v>50</v>
      </c>
      <c r="C29">
        <v>3</v>
      </c>
      <c r="D29" t="s">
        <v>17</v>
      </c>
      <c r="E29">
        <v>259</v>
      </c>
    </row>
    <row r="30" spans="1:5">
      <c r="A30">
        <v>6</v>
      </c>
      <c r="B30" t="s">
        <v>50</v>
      </c>
      <c r="C30">
        <v>8</v>
      </c>
      <c r="D30" t="s">
        <v>44</v>
      </c>
      <c r="E30">
        <v>450</v>
      </c>
    </row>
    <row r="31" spans="1:5">
      <c r="A31">
        <v>6</v>
      </c>
      <c r="B31" t="s">
        <v>50</v>
      </c>
      <c r="C31">
        <v>4</v>
      </c>
      <c r="D31" t="s">
        <v>20</v>
      </c>
      <c r="E31">
        <v>69</v>
      </c>
    </row>
    <row r="32" spans="1:5">
      <c r="A32">
        <v>7</v>
      </c>
      <c r="B32" t="s">
        <v>51</v>
      </c>
      <c r="C32">
        <v>6</v>
      </c>
      <c r="D32" t="s">
        <v>17</v>
      </c>
      <c r="E32">
        <v>33</v>
      </c>
    </row>
    <row r="33" spans="1:5">
      <c r="A33">
        <v>7</v>
      </c>
      <c r="B33" t="s">
        <v>51</v>
      </c>
      <c r="C33">
        <v>7</v>
      </c>
      <c r="D33" t="s">
        <v>20</v>
      </c>
      <c r="E33">
        <v>186</v>
      </c>
    </row>
    <row r="34" spans="1:5">
      <c r="A34">
        <v>7</v>
      </c>
      <c r="B34" t="s">
        <v>51</v>
      </c>
      <c r="C34">
        <v>3</v>
      </c>
      <c r="D34" t="s">
        <v>49</v>
      </c>
      <c r="E34">
        <v>400</v>
      </c>
    </row>
    <row r="35" spans="1:5">
      <c r="A35">
        <v>7</v>
      </c>
      <c r="B35" t="s">
        <v>51</v>
      </c>
      <c r="C35">
        <v>8</v>
      </c>
      <c r="D35" t="s">
        <v>17</v>
      </c>
      <c r="E35">
        <v>510</v>
      </c>
    </row>
    <row r="36" spans="1:5">
      <c r="A36">
        <v>7</v>
      </c>
      <c r="B36" t="s">
        <v>51</v>
      </c>
      <c r="C36">
        <v>4</v>
      </c>
      <c r="D36" t="s">
        <v>20</v>
      </c>
      <c r="E36">
        <v>20</v>
      </c>
    </row>
    <row r="37" spans="1:5">
      <c r="A37">
        <v>8</v>
      </c>
      <c r="B37" t="s">
        <v>52</v>
      </c>
      <c r="C37">
        <v>6</v>
      </c>
      <c r="D37" t="s">
        <v>17</v>
      </c>
      <c r="E37">
        <v>36</v>
      </c>
    </row>
    <row r="38" spans="1:5">
      <c r="A38">
        <v>8</v>
      </c>
      <c r="B38" t="s">
        <v>52</v>
      </c>
      <c r="C38">
        <v>7</v>
      </c>
      <c r="D38" t="s">
        <v>20</v>
      </c>
      <c r="E38">
        <v>67</v>
      </c>
    </row>
    <row r="39" spans="1:5">
      <c r="A39">
        <v>8</v>
      </c>
      <c r="B39" t="s">
        <v>52</v>
      </c>
      <c r="C39">
        <v>3</v>
      </c>
      <c r="D39" t="s">
        <v>31</v>
      </c>
      <c r="E39">
        <v>245</v>
      </c>
    </row>
    <row r="40" spans="1:5">
      <c r="A40">
        <v>8</v>
      </c>
      <c r="B40" t="s">
        <v>52</v>
      </c>
      <c r="C40">
        <v>8</v>
      </c>
      <c r="D40" t="s">
        <v>20</v>
      </c>
      <c r="E40">
        <v>360</v>
      </c>
    </row>
    <row r="41" spans="1:5">
      <c r="A41">
        <v>8</v>
      </c>
      <c r="B41" t="s">
        <v>52</v>
      </c>
      <c r="C41">
        <v>4</v>
      </c>
      <c r="D41" t="s">
        <v>20</v>
      </c>
      <c r="E41">
        <v>21</v>
      </c>
    </row>
    <row r="42" spans="1:5">
      <c r="A42">
        <v>9</v>
      </c>
      <c r="B42" t="s">
        <v>53</v>
      </c>
      <c r="C42">
        <v>6</v>
      </c>
      <c r="D42" t="s">
        <v>17</v>
      </c>
      <c r="E42">
        <v>5</v>
      </c>
    </row>
    <row r="43" spans="1:5">
      <c r="A43">
        <v>9</v>
      </c>
      <c r="B43" t="s">
        <v>53</v>
      </c>
      <c r="C43">
        <v>7</v>
      </c>
      <c r="D43" t="s">
        <v>31</v>
      </c>
      <c r="E43">
        <v>120</v>
      </c>
    </row>
    <row r="44" spans="1:5">
      <c r="A44">
        <v>9</v>
      </c>
      <c r="B44" t="s">
        <v>53</v>
      </c>
      <c r="C44">
        <v>3</v>
      </c>
      <c r="D44" t="s">
        <v>17</v>
      </c>
      <c r="E44">
        <v>600</v>
      </c>
    </row>
    <row r="45" spans="1:5">
      <c r="A45">
        <v>9</v>
      </c>
      <c r="B45" t="s">
        <v>53</v>
      </c>
      <c r="C45">
        <v>8</v>
      </c>
      <c r="D45" t="s">
        <v>31</v>
      </c>
      <c r="E45">
        <v>180</v>
      </c>
    </row>
    <row r="46" spans="1:5">
      <c r="A46">
        <v>9</v>
      </c>
      <c r="B46" t="s">
        <v>53</v>
      </c>
      <c r="C46">
        <v>4</v>
      </c>
      <c r="D46" t="s">
        <v>20</v>
      </c>
      <c r="E46">
        <v>2</v>
      </c>
    </row>
    <row r="47" spans="1:5">
      <c r="A47">
        <v>10</v>
      </c>
      <c r="B47" t="s">
        <v>54</v>
      </c>
      <c r="C47">
        <v>6</v>
      </c>
      <c r="D47" t="s">
        <v>17</v>
      </c>
      <c r="E47">
        <v>8</v>
      </c>
    </row>
    <row r="48" spans="1:5">
      <c r="A48">
        <v>10</v>
      </c>
      <c r="B48" t="s">
        <v>54</v>
      </c>
      <c r="C48">
        <v>7</v>
      </c>
      <c r="D48" t="s">
        <v>31</v>
      </c>
      <c r="E48">
        <v>70</v>
      </c>
    </row>
    <row r="49" spans="1:5">
      <c r="A49">
        <v>10</v>
      </c>
      <c r="B49" t="s">
        <v>54</v>
      </c>
      <c r="C49">
        <v>3</v>
      </c>
      <c r="D49" t="s">
        <v>17</v>
      </c>
      <c r="E49">
        <v>310</v>
      </c>
    </row>
    <row r="50" spans="1:5">
      <c r="A50">
        <v>10</v>
      </c>
      <c r="B50" t="s">
        <v>54</v>
      </c>
      <c r="C50">
        <v>8</v>
      </c>
      <c r="D50" t="s">
        <v>49</v>
      </c>
      <c r="E50">
        <v>150</v>
      </c>
    </row>
    <row r="51" spans="1:5">
      <c r="A51">
        <v>10</v>
      </c>
      <c r="B51" t="s">
        <v>54</v>
      </c>
      <c r="C51">
        <v>4</v>
      </c>
      <c r="D51" t="s">
        <v>20</v>
      </c>
      <c r="E51">
        <v>4</v>
      </c>
    </row>
    <row r="52" spans="1:5">
      <c r="A52">
        <v>11</v>
      </c>
      <c r="B52" t="s">
        <v>55</v>
      </c>
      <c r="C52">
        <v>6</v>
      </c>
      <c r="D52" t="s">
        <v>17</v>
      </c>
      <c r="E52">
        <v>4</v>
      </c>
    </row>
    <row r="53" spans="1:5">
      <c r="A53">
        <v>11</v>
      </c>
      <c r="B53" t="s">
        <v>55</v>
      </c>
      <c r="C53">
        <v>7</v>
      </c>
      <c r="D53" t="s">
        <v>31</v>
      </c>
      <c r="E53">
        <v>90</v>
      </c>
    </row>
    <row r="54" spans="1:5">
      <c r="A54">
        <v>11</v>
      </c>
      <c r="B54" t="s">
        <v>55</v>
      </c>
      <c r="C54">
        <v>3</v>
      </c>
      <c r="D54" t="s">
        <v>17</v>
      </c>
      <c r="E54">
        <v>210</v>
      </c>
    </row>
    <row r="55" spans="1:5">
      <c r="A55">
        <v>11</v>
      </c>
      <c r="B55" t="s">
        <v>55</v>
      </c>
      <c r="C55">
        <v>8</v>
      </c>
      <c r="D55" t="s">
        <v>31</v>
      </c>
      <c r="E55">
        <v>240</v>
      </c>
    </row>
    <row r="56" spans="1:5">
      <c r="A56">
        <v>11</v>
      </c>
      <c r="B56" t="s">
        <v>55</v>
      </c>
      <c r="C56">
        <v>4</v>
      </c>
      <c r="D56" t="s">
        <v>20</v>
      </c>
      <c r="E56">
        <v>4</v>
      </c>
    </row>
    <row r="57" spans="1:5">
      <c r="A57">
        <v>12</v>
      </c>
      <c r="B57" t="s">
        <v>56</v>
      </c>
      <c r="C57">
        <v>6</v>
      </c>
      <c r="D57" t="s">
        <v>17</v>
      </c>
      <c r="E57">
        <v>4</v>
      </c>
    </row>
    <row r="58" spans="1:5">
      <c r="A58">
        <v>12</v>
      </c>
      <c r="B58" t="s">
        <v>56</v>
      </c>
      <c r="C58">
        <v>7</v>
      </c>
      <c r="D58" t="s">
        <v>31</v>
      </c>
      <c r="E58">
        <v>95</v>
      </c>
    </row>
    <row r="59" spans="1:5">
      <c r="A59">
        <v>12</v>
      </c>
      <c r="B59" t="s">
        <v>56</v>
      </c>
      <c r="C59">
        <v>3</v>
      </c>
      <c r="D59" t="s">
        <v>17</v>
      </c>
      <c r="E59">
        <v>250</v>
      </c>
    </row>
    <row r="60" spans="1:5">
      <c r="A60">
        <v>12</v>
      </c>
      <c r="B60" t="s">
        <v>56</v>
      </c>
      <c r="C60">
        <v>8</v>
      </c>
      <c r="D60" t="s">
        <v>31</v>
      </c>
      <c r="E60">
        <v>320</v>
      </c>
    </row>
    <row r="61" spans="1:5">
      <c r="A61">
        <v>12</v>
      </c>
      <c r="B61" t="s">
        <v>56</v>
      </c>
      <c r="C61">
        <v>4</v>
      </c>
      <c r="D61" t="s">
        <v>20</v>
      </c>
      <c r="E61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5410-4578-451E-AEA9-509ABC9E23A6}">
  <dimension ref="A1:B11"/>
  <sheetViews>
    <sheetView workbookViewId="0">
      <selection activeCell="B6" sqref="B6"/>
    </sheetView>
  </sheetViews>
  <sheetFormatPr defaultRowHeight="12.75"/>
  <cols>
    <col min="1" max="1" width="9.5703125" bestFit="1" customWidth="1"/>
    <col min="2" max="2" width="10.42578125" bestFit="1" customWidth="1"/>
  </cols>
  <sheetData>
    <row r="1" spans="1:2">
      <c r="A1" s="1" t="s">
        <v>26</v>
      </c>
      <c r="B1" s="1" t="s">
        <v>27</v>
      </c>
    </row>
    <row r="2" spans="1:2">
      <c r="A2">
        <v>1</v>
      </c>
      <c r="B2" t="s">
        <v>32</v>
      </c>
    </row>
    <row r="3" spans="1:2">
      <c r="A3">
        <v>2</v>
      </c>
      <c r="B3" t="s">
        <v>33</v>
      </c>
    </row>
    <row r="4" spans="1:2">
      <c r="A4">
        <v>3</v>
      </c>
      <c r="B4" t="s">
        <v>34</v>
      </c>
    </row>
    <row r="5" spans="1:2">
      <c r="A5">
        <v>4</v>
      </c>
      <c r="B5" t="s">
        <v>35</v>
      </c>
    </row>
    <row r="6" spans="1:2">
      <c r="A6">
        <v>5</v>
      </c>
      <c r="B6" t="s">
        <v>36</v>
      </c>
    </row>
    <row r="7" spans="1:2">
      <c r="A7">
        <v>6</v>
      </c>
      <c r="B7" t="s">
        <v>37</v>
      </c>
    </row>
    <row r="8" spans="1:2">
      <c r="A8">
        <v>7</v>
      </c>
      <c r="B8" t="s">
        <v>38</v>
      </c>
    </row>
    <row r="9" spans="1:2">
      <c r="A9">
        <v>8</v>
      </c>
      <c r="B9" t="s">
        <v>39</v>
      </c>
    </row>
    <row r="10" spans="1:2">
      <c r="A10">
        <v>9</v>
      </c>
      <c r="B10" t="s">
        <v>40</v>
      </c>
    </row>
    <row r="11" spans="1:2">
      <c r="A11">
        <v>10</v>
      </c>
      <c r="B11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Question</vt:lpstr>
      <vt:lpstr>Gemini</vt:lpstr>
      <vt:lpstr>Claude</vt:lpstr>
      <vt:lpstr>Dictionary</vt:lpstr>
      <vt:lpstr>Result</vt:lpstr>
      <vt:lpstr>student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PITCHAYUTH JAMPONG</cp:lastModifiedBy>
  <dcterms:created xsi:type="dcterms:W3CDTF">2026-03-03T04:31:13Z</dcterms:created>
  <dcterms:modified xsi:type="dcterms:W3CDTF">2026-05-10T17:17:20Z</dcterms:modified>
</cp:coreProperties>
</file>